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b452aa799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tivos BSC" sheetId="1" r:id="R92e04e6205ec4f19"/>
    <x:sheet xmlns:r="http://schemas.openxmlformats.org/officeDocument/2006/relationships" name="Painel" sheetId="2" r:id="R0939f094dab0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R$ #,##0.00;[Red](R$ #,##0.00);&quot;-&quot;"/>
  </x:numFmts>
  <x:fonts count="6">
    <x:font>
      <x:sz val="11"/>
      <x:name val="Carlito"/>
    </x:font>
    <x:font>
      <x:b/>
      <x:sz val="15"/>
      <x:color rgb="FFFFFFFF"/>
      <x:name val="Carlito"/>
    </x:font>
    <x:font>
      <x:sz val="11"/>
      <x:color rgb="FF20324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i/>
      <x:sz val="11"/>
      <x:color rgb="FF60728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E9F4F8"/>
      </x:patternFill>
    </x:fill>
    <x:fill>
      <x:patternFill patternType="solid">
        <x:fgColor rgb="FF007E87"/>
      </x:patternFill>
    </x:fill>
    <x:fill>
      <x:patternFill patternType="solid">
        <x:fgColor rgb="FFFFF5C2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201" fontId="4" fillId="3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db690092147f2" /><Relationship Type="http://schemas.openxmlformats.org/officeDocument/2006/relationships/theme" Target="/xl/theme/theme1.xml" Id="R4af9cb258ca94377" /><Relationship Type="http://schemas.openxmlformats.org/officeDocument/2006/relationships/sharedStrings" Target="/xl/sharedStrings.xml" Id="Rc1e23410cdae4e8a" /><Relationship Type="http://schemas.openxmlformats.org/officeDocument/2006/relationships/worksheet" Target="/xl/worksheets/sheet1.xml" Id="R92e04e6205ec4f19" /><Relationship Type="http://schemas.openxmlformats.org/officeDocument/2006/relationships/worksheet" Target="/xl/worksheets/sheet2.xml" Id="R0939f094dab040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5fbb0461e24c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Objetivos por perspectiva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Objetivos</c:v>
          </c:tx>
          <c:cat>
            <c:strRef>
              <c:f>'Painel'!$D$5:$D$8</c:f>
              <c:strCache>
                <c:ptCount val="0"/>
              </c:strCache>
            </c:strRef>
          </c:cat>
          <c:val>
            <c:numRef>
              <c:f>'Painel'!$E$5:$E$8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5fbb0461e24c8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833ae48fb8f436b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8" hidden="0" customWidth="1"/>
    <x:col min="3" max="3" width="38" hidden="0" customWidth="1"/>
    <x:col min="4" max="4" width="42" hidden="0" customWidth="1"/>
    <x:col min="5" max="5" width="12" hidden="0" customWidth="1"/>
    <x:col min="6" max="6" width="10" hidden="0" customWidth="1"/>
    <x:col min="7" max="7" width="14" hidden="0" customWidth="1"/>
    <x:col min="8" max="8" width="13" hidden="0" customWidth="1"/>
    <x:col min="9" max="9" width="50" hidden="0" customWidth="1"/>
    <x:col min="10" max="10" width="24" hidden="0" customWidth="1"/>
    <x:col min="11" max="11" width="13" hidden="0" customWidth="1"/>
    <x:col min="12" max="12" width="18" hidden="0" customWidth="1"/>
  </x:cols>
  <x:sheetData>
    <x:row r="1" ht="34" customHeight="1">
      <x:c r="A1" s="4" t="str">
        <x:v>CHECKER NEWS | BALANCED SCORECARD — ETAPA 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5" customHeight="1">
      <x:c r="A3" s="9" t="str">
        <x:v>Metas projetadas para os 12 meses da simulação, não resultados reais. Preço Premium informado pela equipe: R$ 12,90.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6" ht="32" customHeight="1">
      <x:c r="A6" s="15" t="str">
        <x:v>Perspectiva</x:v>
      </x:c>
      <x:c r="B6" s="15" t="str">
        <x:v>ID</x:v>
      </x:c>
      <x:c r="C6" s="15" t="str">
        <x:v>Objetivo estratégico</x:v>
      </x:c>
      <x:c r="D6" s="15" t="str">
        <x:v>Indicador (KPI)</x:v>
      </x:c>
      <x:c r="E6" s="15" t="str">
        <x:v>Meta</x:v>
      </x:c>
      <x:c r="F6" s="15" t="str">
        <x:v>Critério</x:v>
      </x:c>
      <x:c r="G6" s="15" t="str">
        <x:v>Unidade</x:v>
      </x:c>
      <x:c r="H6" s="15" t="str">
        <x:v>Prazo</x:v>
      </x:c>
      <x:c r="I6" s="15" t="str">
        <x:v>Iniciativa-chave</x:v>
      </x:c>
      <x:c r="J6" s="15" t="str">
        <x:v>Responsável (papel)</x:v>
      </x:c>
      <x:c r="K6" s="15" t="str">
        <x:v>Realizado</x:v>
      </x:c>
      <x:c r="L6" s="15" t="str">
        <x:v>Status</x:v>
      </x:c>
    </x:row>
    <x:row r="7" ht="42" customHeight="1">
      <x:c r="A7" s="22" t="str">
        <x:v>Financeira</x:v>
      </x:c>
      <x:c r="B7" s="22" t="str">
        <x:v>F01</x:v>
      </x:c>
      <x:c r="C7" s="22" t="str">
        <x:v>Aumentar receita recorrente</x:v>
      </x:c>
      <x:c r="D7" s="22" t="str">
        <x:v>Receita recorrente mensal (MRR)</x:v>
      </x:c>
      <x:c r="E7" s="39" t="n">
        <x:v>580.5</x:v>
      </x:c>
      <x:c r="F7" s="22" t="str">
        <x:v>&gt;=</x:v>
      </x:c>
      <x:c r="G7" s="22" t="str">
        <x:v>R$/mês</x:v>
      </x:c>
      <x:c r="H7" s="22" t="str">
        <x:v>Mês 12</x:v>
      </x:c>
      <x:c r="I7" s="22" t="str">
        <x:v>Propor Premium de R$ 12,90/mês; meta de 45 assinantes no mês 12</x:v>
      </x:c>
      <x:c r="J7" s="22" t="str">
        <x:v>Negócios</x:v>
      </x:c>
      <x:c r="K7" s="30"/>
      <x:c r="L7" s="22" t="str">
        <x:f>IF(K7="","Não medido",IF(OR(AND(F7="&gt;=",K7&gt;=E7),AND(F7="&lt;=",K7&lt;=E7)),"Atingido","Não atingido"))</x:f>
        <x:v>Não medido</x:v>
      </x:c>
    </x:row>
    <x:row r="8" ht="42" customHeight="1">
      <x:c r="A8" s="20" t="str">
        <x:v>Financeira</x:v>
      </x:c>
      <x:c r="B8" s="20" t="str">
        <x:v>F02</x:v>
      </x:c>
      <x:c r="C8" s="20" t="str">
        <x:v>Cobrir os custos operacionais</x:v>
      </x:c>
      <x:c r="D8" s="20" t="str">
        <x:v>Resultado operacional mensal</x:v>
      </x:c>
      <x:c r="E8" s="25" t="n">
        <x:v>0</x:v>
      </x:c>
      <x:c r="F8" s="20" t="str">
        <x:v>&gt;=</x:v>
      </x:c>
      <x:c r="G8" s="20" t="str">
        <x:v>R$/mês</x:v>
      </x:c>
      <x:c r="H8" s="20" t="str">
        <x:v>Até o mês 6</x:v>
      </x:c>
      <x:c r="I8" s="20" t="str">
        <x:v>Controlar custo por análise e iniciar monetização só após validação</x:v>
      </x:c>
      <x:c r="J8" s="20" t="str">
        <x:v>Financeiro</x:v>
      </x:c>
      <x:c r="K8" s="30"/>
      <x:c r="L8" s="20" t="str">
        <x:f>IF(K8="","Não medido",IF(OR(AND(F8="&gt;=",K8&gt;=E8),AND(F8="&lt;=",K8&lt;=E8)),"Atingido","Não atingido"))</x:f>
        <x:v>Não medido</x:v>
      </x:c>
    </x:row>
    <x:row r="9" ht="42" customHeight="1">
      <x:c r="A9" s="20" t="str">
        <x:v>Financeira</x:v>
      </x:c>
      <x:c r="B9" s="20" t="str">
        <x:v>F03</x:v>
      </x:c>
      <x:c r="C9" s="20" t="str">
        <x:v>Manter gastos operacionais sob controle</x:v>
      </x:c>
      <x:c r="D9" s="20" t="str">
        <x:v>Saídas operacionais mensais</x:v>
      </x:c>
      <x:c r="E9" s="40" t="n">
        <x:v>450</x:v>
      </x:c>
      <x:c r="F9" s="20" t="str">
        <x:v>&lt;=</x:v>
      </x:c>
      <x:c r="G9" s="20" t="str">
        <x:v>R$/mês</x:v>
      </x:c>
      <x:c r="H9" s="20" t="str">
        <x:v>Mês 12</x:v>
      </x:c>
      <x:c r="I9" s="20" t="str">
        <x:v>Planos gratuitos sob limites, APIs por uso e marketing pontual</x:v>
      </x:c>
      <x:c r="J9" s="20" t="str">
        <x:v>Financeiro</x:v>
      </x:c>
      <x:c r="K9" s="30"/>
      <x:c r="L9" s="20" t="str">
        <x:f>IF(K9="","Não medido",IF(OR(AND(F9="&gt;=",K9&gt;=E9),AND(F9="&lt;=",K9&lt;=E9)),"Atingido","Não atingido"))</x:f>
        <x:v>Não medido</x:v>
      </x:c>
    </x:row>
    <x:row r="10" ht="42" customHeight="1">
      <x:c r="A10" s="22" t="str">
        <x:v>Clientes</x:v>
      </x:c>
      <x:c r="B10" s="22" t="str">
        <x:v>C01</x:v>
      </x:c>
      <x:c r="C10" s="22" t="str">
        <x:v>Ampliar base de usuários</x:v>
      </x:c>
      <x:c r="D10" s="22" t="str">
        <x:v>Usuários ativos mensais (MAU)</x:v>
      </x:c>
      <x:c r="E10" s="24" t="n">
        <x:v>895</x:v>
      </x:c>
      <x:c r="F10" s="22" t="str">
        <x:v>&gt;=</x:v>
      </x:c>
      <x:c r="G10" s="22" t="str">
        <x:v>usuários</x:v>
      </x:c>
      <x:c r="H10" s="22" t="str">
        <x:v>Mês 12</x:v>
      </x:c>
      <x:c r="I10" s="22" t="str">
        <x:v>Crescimento orgânico e testes controlados do MVP</x:v>
      </x:c>
      <x:c r="J10" s="22" t="str">
        <x:v>Produto/Marketing</x:v>
      </x:c>
      <x:c r="K10" s="30"/>
      <x:c r="L10" s="22" t="str">
        <x:f>IF(K10="","Não medido",IF(OR(AND(F10="&gt;=",K10&gt;=E10),AND(F10="&lt;=",K10&lt;=E10)),"Atingido","Não atingido"))</x:f>
        <x:v>Não medido</x:v>
      </x:c>
    </x:row>
    <x:row r="11" ht="42" customHeight="1">
      <x:c r="A11" s="20" t="str">
        <x:v>Clientes</x:v>
      </x:c>
      <x:c r="B11" s="20" t="str">
        <x:v>C02</x:v>
      </x:c>
      <x:c r="C11" s="20" t="str">
        <x:v>Melhorar satisfação</x:v>
      </x:c>
      <x:c r="D11" s="20" t="str">
        <x:v>Avaliação positiva nas pesquisas</x:v>
      </x:c>
      <x:c r="E11" s="25" t="n">
        <x:v>80</x:v>
      </x:c>
      <x:c r="F11" s="20" t="str">
        <x:v>&gt;=</x:v>
      </x:c>
      <x:c r="G11" s="20" t="str">
        <x:v>%</x:v>
      </x:c>
      <x:c r="H11" s="20" t="str">
        <x:v>Mês 12</x:v>
      </x:c>
      <x:c r="I11" s="20" t="str">
        <x:v>Pesquisa de satisfação após as consultas</x:v>
      </x:c>
      <x:c r="J11" s="20" t="str">
        <x:v>Produto/UX</x:v>
      </x:c>
      <x:c r="K11" s="30"/>
      <x:c r="L11" s="20" t="str">
        <x:f>IF(K11="","Não medido",IF(OR(AND(F11="&gt;=",K11&gt;=E11),AND(F11="&lt;=",K11&lt;=E11)),"Atingido","Não atingido"))</x:f>
        <x:v>Não medido</x:v>
      </x:c>
    </x:row>
    <x:row r="12" ht="42" customHeight="1">
      <x:c r="A12" s="20" t="str">
        <x:v>Clientes</x:v>
      </x:c>
      <x:c r="B12" s="20" t="str">
        <x:v>C03</x:v>
      </x:c>
      <x:c r="C12" s="20" t="str">
        <x:v>Converter usuários gratuitos</x:v>
      </x:c>
      <x:c r="D12" s="20" t="str">
        <x:v>Taxa de conversão para Premium</x:v>
      </x:c>
      <x:c r="E12" s="25" t="n">
        <x:v>5</x:v>
      </x:c>
      <x:c r="F12" s="20" t="str">
        <x:v>&gt;=</x:v>
      </x:c>
      <x:c r="G12" s="20" t="str">
        <x:v>%</x:v>
      </x:c>
      <x:c r="H12" s="20" t="str">
        <x:v>Mês 12</x:v>
      </x:c>
      <x:c r="I12" s="20" t="str">
        <x:v>Validar benefícios antes de ampliar assinaturas</x:v>
      </x:c>
      <x:c r="J12" s="20" t="str">
        <x:v>Marketing/Produto</x:v>
      </x:c>
      <x:c r="K12" s="30"/>
      <x:c r="L12" s="20" t="str">
        <x:f>IF(K12="","Não medido",IF(OR(AND(F12="&gt;=",K12&gt;=E12),AND(F12="&lt;=",K12&lt;=E12)),"Atingido","Não atingido"))</x:f>
        <x:v>Não medido</x:v>
      </x:c>
    </x:row>
    <x:row r="13" ht="42" customHeight="1">
      <x:c r="A13" s="22" t="str">
        <x:v>Processos internos</x:v>
      </x:c>
      <x:c r="B13" s="22" t="str">
        <x:v>P01</x:v>
      </x:c>
      <x:c r="C13" s="22" t="str">
        <x:v>Reduzir tempo de análise</x:v>
      </x:c>
      <x:c r="D13" s="22" t="str">
        <x:v>Tempo p95 por verificação</x:v>
      </x:c>
      <x:c r="E13" s="24" t="n">
        <x:v>30</x:v>
      </x:c>
      <x:c r="F13" s="22" t="str">
        <x:v>&lt;=</x:v>
      </x:c>
      <x:c r="G13" s="22" t="str">
        <x:v>segundos</x:v>
      </x:c>
      <x:c r="H13" s="22" t="str">
        <x:v>Mês 6</x:v>
      </x:c>
      <x:c r="I13" s="22" t="str">
        <x:v>Otimizar backend e monitorar APIs externas</x:v>
      </x:c>
      <x:c r="J13" s="22" t="str">
        <x:v>Desenvolvimento</x:v>
      </x:c>
      <x:c r="K13" s="30"/>
      <x:c r="L13" s="22" t="str">
        <x:f>IF(K13="","Não medido",IF(OR(AND(F13="&gt;=",K13&gt;=E13),AND(F13="&lt;=",K13&lt;=E13)),"Atingido","Não atingido"))</x:f>
        <x:v>Não medido</x:v>
      </x:c>
    </x:row>
    <x:row r="14" ht="42" customHeight="1">
      <x:c r="A14" s="20" t="str">
        <x:v>Processos internos</x:v>
      </x:c>
      <x:c r="B14" s="20" t="str">
        <x:v>P02</x:v>
      </x:c>
      <x:c r="C14" s="20" t="str">
        <x:v>Aumentar transparência dos resultados</x:v>
      </x:c>
      <x:c r="D14" s="20" t="str">
        <x:v>Análises com justificativa/limitações visíveis</x:v>
      </x:c>
      <x:c r="E14" s="25" t="n">
        <x:v>90</x:v>
      </x:c>
      <x:c r="F14" s="20" t="str">
        <x:v>&gt;=</x:v>
      </x:c>
      <x:c r="G14" s="20" t="str">
        <x:v>%</x:v>
      </x:c>
      <x:c r="H14" s="20" t="str">
        <x:v>Mês 6</x:v>
      </x:c>
      <x:c r="I14" s="20" t="str">
        <x:v>Exibir fontes ou justificativas quando disponíveis</x:v>
      </x:c>
      <x:c r="J14" s="20" t="str">
        <x:v>Desenvolvimento/Conteúdo</x:v>
      </x:c>
      <x:c r="K14" s="30"/>
      <x:c r="L14" s="20" t="str">
        <x:f>IF(K14="","Não medido",IF(OR(AND(F14="&gt;=",K14&gt;=E14),AND(F14="&lt;=",K14&lt;=E14)),"Atingido","Não atingido"))</x:f>
        <x:v>Não medido</x:v>
      </x:c>
    </x:row>
    <x:row r="15" ht="42" customHeight="1">
      <x:c r="A15" s="20" t="str">
        <x:v>Processos internos</x:v>
      </x:c>
      <x:c r="B15" s="20" t="str">
        <x:v>P03</x:v>
      </x:c>
      <x:c r="C15" s="20" t="str">
        <x:v>Reduzir defeitos críticos</x:v>
      </x:c>
      <x:c r="D15" s="20" t="str">
        <x:v>Defeitos críticos abertos em produção</x:v>
      </x:c>
      <x:c r="E15" s="25" t="n">
        <x:v>0</x:v>
      </x:c>
      <x:c r="F15" s="20" t="str">
        <x:v>&lt;=</x:v>
      </x:c>
      <x:c r="G15" s="20" t="str">
        <x:v>defeitos</x:v>
      </x:c>
      <x:c r="H15" s="20" t="str">
        <x:v>Mensal</x:v>
      </x:c>
      <x:c r="I15" s="20" t="str">
        <x:v>Testar fluxos e tratar falhas prioritárias</x:v>
      </x:c>
      <x:c r="J15" s="20" t="str">
        <x:v>Qualidade</x:v>
      </x:c>
      <x:c r="K15" s="30"/>
      <x:c r="L15" s="20" t="str">
        <x:f>IF(K15="","Não medido",IF(OR(AND(F15="&gt;=",K15&gt;=E15),AND(F15="&lt;=",K15&lt;=E15)),"Atingido","Não atingido"))</x:f>
        <x:v>Não medido</x:v>
      </x:c>
    </x:row>
    <x:row r="16" ht="42" customHeight="1">
      <x:c r="A16" s="22" t="str">
        <x:v>Aprendizado e crescimento</x:v>
      </x:c>
      <x:c r="B16" s="22" t="str">
        <x:v>A01</x:v>
      </x:c>
      <x:c r="C16" s="22" t="str">
        <x:v>Melhorar cobertura de testes</x:v>
      </x:c>
      <x:c r="D16" s="22" t="str">
        <x:v>Cobertura de testes automatizados</x:v>
      </x:c>
      <x:c r="E16" s="24" t="n">
        <x:v>70</x:v>
      </x:c>
      <x:c r="F16" s="22" t="str">
        <x:v>&gt;=</x:v>
      </x:c>
      <x:c r="G16" s="22" t="str">
        <x:v>%</x:v>
      </x:c>
      <x:c r="H16" s="22" t="str">
        <x:v>Mês 12</x:v>
      </x:c>
      <x:c r="I16" s="22" t="str">
        <x:v>Criar testes unitários e integração no pipeline</x:v>
      </x:c>
      <x:c r="J16" s="22" t="str">
        <x:v>Desenvolvimento</x:v>
      </x:c>
      <x:c r="K16" s="30"/>
      <x:c r="L16" s="22" t="str">
        <x:f>IF(K16="","Não medido",IF(OR(AND(F16="&gt;=",K16&gt;=E16),AND(F16="&lt;=",K16&lt;=E16)),"Atingido","Não atingido"))</x:f>
        <x:v>Não medido</x:v>
      </x:c>
    </x:row>
    <x:row r="17" ht="42" customHeight="1">
      <x:c r="A17" s="20" t="str">
        <x:v>Aprendizado e crescimento</x:v>
      </x:c>
      <x:c r="B17" s="20" t="str">
        <x:v>A02</x:v>
      </x:c>
      <x:c r="C17" s="20" t="str">
        <x:v>Desenvolver competência da equipe</x:v>
      </x:c>
      <x:c r="D17" s="20" t="str">
        <x:v>Horas de capacitação por integrante</x:v>
      </x:c>
      <x:c r="E17" s="25" t="n">
        <x:v>8</x:v>
      </x:c>
      <x:c r="F17" s="20" t="str">
        <x:v>&gt;=</x:v>
      </x:c>
      <x:c r="G17" s="20" t="str">
        <x:v>horas</x:v>
      </x:c>
      <x:c r="H17" s="20" t="str">
        <x:v>Mês 12</x:v>
      </x:c>
      <x:c r="I17" s="20" t="str">
        <x:v>Treinar stack, revisão de código e análise de dados</x:v>
      </x:c>
      <x:c r="J17" s="20" t="str">
        <x:v>Equipe</x:v>
      </x:c>
      <x:c r="K17" s="30"/>
      <x:c r="L17" s="20" t="str">
        <x:f>IF(K17="","Não medido",IF(OR(AND(F17="&gt;=",K17&gt;=E17),AND(F17="&lt;=",K17&lt;=E17)),"Atingido","Não atingido"))</x:f>
        <x:v>Não medido</x:v>
      </x:c>
    </x:row>
    <x:row r="18" ht="42" customHeight="1">
      <x:c r="A18" s="20" t="str">
        <x:v>Aprendizado e crescimento</x:v>
      </x:c>
      <x:c r="B18" s="20" t="str">
        <x:v>A03</x:v>
      </x:c>
      <x:c r="C18" s="20" t="str">
        <x:v>Manter documentação atualizada</x:v>
      </x:c>
      <x:c r="D18" s="20" t="str">
        <x:v>Entregáveis previstos documentados</x:v>
      </x:c>
      <x:c r="E18" s="25" t="n">
        <x:v>95</x:v>
      </x:c>
      <x:c r="F18" s="20" t="str">
        <x:v>&gt;=</x:v>
      </x:c>
      <x:c r="G18" s="20" t="str">
        <x:v>%</x:v>
      </x:c>
      <x:c r="H18" s="20" t="str">
        <x:v>Mês 12</x:v>
      </x:c>
      <x:c r="I18" s="20" t="str">
        <x:v>Revisar documentação em todo pull request</x:v>
      </x:c>
      <x:c r="J18" s="20" t="str">
        <x:v>Equipe/Documentação</x:v>
      </x:c>
      <x:c r="K18" s="30"/>
      <x:c r="L18" s="20" t="str">
        <x:f>IF(K18="","Não medido",IF(OR(AND(F18="&gt;=",K18&gt;=E18),AND(F18="&lt;=",K18&lt;=E18)),"Atingido","Não atingido"))</x:f>
        <x:v>Não medido</x:v>
      </x:c>
    </x:row>
    <x:row r="20" ht="23" customHeight="1">
      <x:c r="A20" s="33" t="str">
        <x:v>Obs.: metas não são resultados comprovados; atualizar a coluna Realizado com dados medidos do MVP.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</x:sheetData>
  <x:mergeCells>
    <x:mergeCell ref="A1:L2"/>
    <x:mergeCell ref="A3:L3"/>
    <x:mergeCell ref="A20:L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8" hidden="0" customWidth="1"/>
    <x:col min="4" max="4" width="34" hidden="0" customWidth="1"/>
    <x:col min="5" max="5" width="20" hidden="0" customWidth="1"/>
    <x:col min="6" max="6" width="18" hidden="0" customWidth="1"/>
  </x:cols>
  <x:sheetData>
    <x:row r="1" ht="34" customHeight="1">
      <x:c r="A1" s="4" t="str">
        <x:v>PAINEL DE ACOMPANHAMENTO BSC</x:v>
      </x:c>
      <x:c r="B1" s="4"/>
      <x:c r="C1" s="4"/>
      <x:c r="D1" s="4"/>
      <x:c r="E1" s="4"/>
      <x:c r="F1" s="4"/>
    </x:row>
    <x:row r="2" ht="34" customHeight="1">
      <x:c r="A2" s="4"/>
      <x:c r="B2" s="4"/>
      <x:c r="C2" s="4"/>
      <x:c r="D2" s="4"/>
      <x:c r="E2" s="4"/>
      <x:c r="F2" s="4"/>
    </x:row>
    <x:row r="4" ht="32" customHeight="1">
      <x:c r="A4" s="15" t="str">
        <x:v>Indicador</x:v>
      </x:c>
      <x:c r="B4" s="15" t="str">
        <x:v>Valor</x:v>
      </x:c>
      <x:c r="D4" s="15" t="str">
        <x:v>Perspectiva</x:v>
      </x:c>
      <x:c r="E4" s="15" t="str">
        <x:v>Objetivos</x:v>
      </x:c>
    </x:row>
    <x:row r="5">
      <x:c r="A5" t="str">
        <x:v>Total de objetivos</x:v>
      </x:c>
      <x:c r="B5" t="n">
        <x:f>COUNTA('Objetivos BSC'!B7:B18)</x:f>
        <x:v>12</x:v>
      </x:c>
      <x:c r="D5" t="str">
        <x:v>Financeira</x:v>
      </x:c>
      <x:c r="E5" t="n">
        <x:f>COUNTIF('Objetivos BSC'!A7:A18,D5)</x:f>
        <x:v>3</x:v>
      </x:c>
    </x:row>
    <x:row r="6">
      <x:c r="A6" t="str">
        <x:v>Metas atingidas</x:v>
      </x:c>
      <x:c r="B6" t="n">
        <x:f>COUNTIF('Objetivos BSC'!L7:L18,"Atingido")</x:f>
        <x:v>0</x:v>
      </x:c>
      <x:c r="D6" t="str">
        <x:v>Clientes</x:v>
      </x:c>
      <x:c r="E6" t="n">
        <x:f>COUNTIF('Objetivos BSC'!A7:A18,D6)</x:f>
        <x:v>3</x:v>
      </x:c>
    </x:row>
    <x:row r="7">
      <x:c r="A7" t="str">
        <x:v>Metas não atingidas</x:v>
      </x:c>
      <x:c r="B7" t="n">
        <x:f>COUNTIF('Objetivos BSC'!L7:L18,"Não atingido")</x:f>
        <x:v>0</x:v>
      </x:c>
      <x:c r="D7" t="str">
        <x:v>Processos internos</x:v>
      </x:c>
      <x:c r="E7" t="n">
        <x:f>COUNTIF('Objetivos BSC'!A7:A18,D7)</x:f>
        <x:v>3</x:v>
      </x:c>
    </x:row>
    <x:row r="8">
      <x:c r="A8" t="str">
        <x:v>Não medidos</x:v>
      </x:c>
      <x:c r="B8" t="n">
        <x:f>COUNTIF('Objetivos BSC'!L7:L18,"Não medido")</x:f>
        <x:v>12</x:v>
      </x:c>
      <x:c r="D8" t="str">
        <x:v>Aprendizado e crescimento</x:v>
      </x:c>
      <x:c r="E8" t="n">
        <x:f>COUNTIF('Objetivos BSC'!A7:A18,D8)</x:f>
        <x:v>3</x:v>
      </x:c>
    </x:row>
    <x:row r="9">
      <x:c r="A9" t="str">
        <x:v>% objetivos medidos</x:v>
      </x:c>
      <x:c r="B9" s="36" t="n">
        <x:f>IFERROR((B6+B7)/B5,0)</x:f>
        <x:v>0</x:v>
      </x:c>
    </x:row>
    <x:row r="11" ht="30" customHeight="1">
      <x:c r="A11" s="20" t="str">
        <x:v>Fonte: proposta Checker News + cenário de MVP da Etapa 3, preço Premium de R$ 12,90 informado pela equipe.</x:v>
      </x:c>
      <x:c r="B11" s="20"/>
      <x:c r="C11" s="20"/>
      <x:c r="D11" s="20"/>
      <x:c r="E11" s="20"/>
      <x:c r="F11" s="20"/>
    </x:row>
    <x:row r="12" ht="30" customHeight="1">
      <x:c r="A12" s="20" t="str">
        <x:v>https://github.com/ICEI-PUC-Minas-PPC-CC/TAI-3-Checker-News/blob/main/Plano%20de%20Neg%C3%B3cios</x:v>
      </x:c>
      <x:c r="B12" s="20"/>
      <x:c r="C12" s="20"/>
      <x:c r="D12" s="20"/>
      <x:c r="E12" s="20"/>
      <x:c r="F12" s="20"/>
    </x:row>
  </x:sheetData>
  <x:mergeCells>
    <x:mergeCell ref="A1:F2"/>
    <x:mergeCell ref="A11:F11"/>
    <x:mergeCell ref="A12:F12"/>
  </x:mergeCells>
  <x:pageMargins left="0.7" right="0.7" top="0.75" bottom="0.75" header="0.3" footer="0.3"/>
  <x:drawing xmlns:r="http://schemas.openxmlformats.org/officeDocument/2006/relationships" r:id="R6833ae48fb8f436b"/>
</x:worksheet>
</file>