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6e5064d90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1ac94de32c0341b6"/>
    <x:sheet xmlns:r="http://schemas.openxmlformats.org/officeDocument/2006/relationships" name="Fluxo de Caixa" sheetId="2" r:id="R79559906d9464a5a"/>
    <x:sheet xmlns:r="http://schemas.openxmlformats.org/officeDocument/2006/relationships" name="Resumo" sheetId="3" r:id="R70c4498e69084892"/>
    <x:sheet xmlns:r="http://schemas.openxmlformats.org/officeDocument/2006/relationships" name="Sensibilidade" sheetId="4" r:id="Rfb60c100bff7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$ #,##0.00;[Red](R$ #,##0.00);&quot;-&quot;"/>
    <x:numFmt numFmtId="201" formatCode="0.0%;[Red](0.0%);&quot;-&quot;"/>
    <x:numFmt numFmtId="202" formatCode="#,##0;[Red](#,##0);&quot;-&quot;"/>
    <x:numFmt numFmtId="203" formatCode="&quot;R$ &quot; #,##0.00;[Red](&quot;R$ &quot; #,##0.00);&quot;-&quot;"/>
    <x:numFmt numFmtId="204" formatCode="0.0%"/>
  </x:numFmts>
  <x:fonts count="11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172D3A"/>
      <x:name val="Aptos"/>
    </x:font>
    <x:font>
      <x:b/>
      <x:sz val="15"/>
      <x:color rgb="FFFFFFFF"/>
      <x:name val="Aptos"/>
    </x:font>
    <x:font>
      <x:i/>
      <x:sz val="10"/>
      <x:color rgb="FF172D3A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b/>
      <x:sz val="10"/>
      <x:color rgb="FF172D3A"/>
      <x:name val="Aptos"/>
    </x:font>
    <x:font>
      <x:sz val="10"/>
      <x:color rgb="FF008000"/>
      <x:name val="Aptos"/>
    </x:font>
    <x:font>
      <x:b/>
      <x:sz val="10"/>
      <x:color rgb="FF00800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4344B"/>
      </x:patternFill>
    </x:fill>
    <x:fill>
      <x:patternFill patternType="solid">
        <x:fgColor rgb="FFE6F3F3"/>
      </x:patternFill>
    </x:fill>
    <x:fill>
      <x:patternFill patternType="solid">
        <x:fgColor rgb="FF117E84"/>
      </x:patternFill>
    </x:fill>
    <x:fill>
      <x:patternFill patternType="solid">
        <x:fgColor rgb="FFFFF7D2"/>
      </x:patternFill>
    </x:fill>
    <x:fill>
      <x:patternFill patternType="solid">
        <x:fgColor rgb="FFF3F7FB"/>
      </x:patternFill>
    </x:fill>
    <x:fill>
      <x:patternFill patternType="solid">
        <x:fgColor rgb="FFFFFFFF"/>
      </x:patternFill>
    </x:fill>
    <x:fill>
      <x:patternFill patternType="solid">
        <x:fgColor rgb="FFFFF5DA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3" fillId="3" borderId="1" xfId="0" applyNumberFormat="1" applyFont="1" applyFill="1" applyBorder="1"/>
    <x:xf numFmtId="0" fontId="5" fillId="3" borderId="1" xfId="0" applyNumberFormat="1" applyFont="1" applyFill="1" applyBorder="1"/>
    <x:xf numFmtId="0" fontId="3" fillId="4" borderId="0" xfId="0" applyNumberFormat="1" applyFont="1" applyFill="1" applyBorder="1"/>
    <x:xf numFmtId="0" fontId="6" fillId="4" borderId="0" xfId="0" applyNumberFormat="1" applyFont="1" applyFill="1" applyBorder="1"/>
    <x:xf numFmtId="0" fontId="3" fillId="4" borderId="1" xfId="0" applyNumberFormat="1" applyFont="1" applyFill="1" applyBorder="1"/>
    <x:xf numFmtId="0" fontId="6" fillId="4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0" fontId="7" fillId="5" borderId="0" xfId="0" applyNumberFormat="1" applyFont="1" applyFill="1" applyBorder="1"/>
    <x:xf numFmtId="200" fontId="7" fillId="5" borderId="1" xfId="0" applyNumberFormat="1" applyFont="1" applyFill="1" applyBorder="1"/>
    <x:xf numFmtId="201" fontId="7" fillId="5" borderId="0" xfId="0" applyNumberFormat="1" applyFont="1" applyFill="1" applyBorder="1"/>
    <x:xf numFmtId="201" fontId="7" fillId="5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2" fontId="7" fillId="5" borderId="0" xfId="0" applyNumberFormat="1" applyFont="1" applyFill="1" applyBorder="1"/>
    <x:xf numFmtId="202" fontId="7" fillId="5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3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0" fontId="3" fillId="3" borderId="1" xfId="0" applyNumberFormat="1" applyFont="1" applyFill="1" applyBorder="1"/>
    <x:xf numFmtId="0" fontId="8" fillId="3" borderId="1" xfId="0" applyNumberFormat="1" applyFont="1" applyFill="1" applyBorder="1"/>
    <x:xf numFmtId="200" fontId="8" fillId="3" borderId="1" xfId="0" applyNumberFormat="1" applyFont="1" applyFill="1" applyBorder="1"/>
    <x:xf numFmtId="200" fontId="3" fillId="2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200" fontId="3" fillId="2" borderId="1" xfId="0" applyNumberFormat="1" applyFont="1" applyFill="1" applyBorder="1"/>
    <x:xf numFmtId="0" fontId="6" fillId="2" borderId="1" xfId="0" applyNumberFormat="1" applyFont="1" applyFill="1" applyBorder="1"/>
    <x:xf numFmtId="200" fontId="6" fillId="2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202" fontId="9" fillId="0" borderId="0" xfId="0" applyNumberFormat="1" applyFont="1" applyFill="1" applyBorder="1"/>
    <x:xf numFmtId="202" fontId="9" fillId="0" borderId="1" xfId="0" applyNumberFormat="1" applyFont="1" applyFill="1" applyBorder="1"/>
    <x:xf numFmtId="200" fontId="9" fillId="3" borderId="0" xfId="0" applyNumberFormat="1" applyFont="1" applyFill="1" applyBorder="1"/>
    <x:xf numFmtId="200" fontId="10" fillId="3" borderId="0" xfId="0" applyNumberFormat="1" applyFont="1" applyFill="1" applyBorder="1"/>
    <x:xf numFmtId="200" fontId="9" fillId="3" borderId="1" xfId="0" applyNumberFormat="1" applyFont="1" applyFill="1" applyBorder="1"/>
    <x:xf numFmtId="200" fontId="10" fillId="3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3" fontId="9" fillId="0" borderId="0" xfId="0" applyNumberFormat="1" applyFont="1" applyFill="1" applyBorder="1"/>
    <x:xf numFmtId="203" fontId="10" fillId="3" borderId="0" xfId="0" applyNumberFormat="1" applyFont="1" applyFill="1" applyBorder="1"/>
    <x:xf numFmtId="203" fontId="9" fillId="0" borderId="1" xfId="0" applyNumberFormat="1" applyFont="1" applyFill="1" applyBorder="1"/>
    <x:xf numFmtId="203" fontId="10" fillId="3" borderId="1" xfId="0" applyNumberFormat="1" applyFont="1" applyFill="1" applyBorder="1"/>
    <x:xf numFmtId="203" fontId="7" fillId="5" borderId="0" xfId="0" applyNumberFormat="1" applyFont="1" applyFill="1" applyBorder="1"/>
    <x:xf numFmtId="203" fontId="7" fillId="5" borderId="1" xfId="0" applyNumberFormat="1" applyFont="1" applyFill="1" applyBorder="1"/>
    <x:xf numFmtId="204" fontId="7" fillId="5" borderId="0" xfId="0" applyNumberFormat="1" applyFont="1" applyFill="1" applyBorder="1"/>
    <x:xf numFmtId="204" fontId="7" fillId="5" borderId="1" xfId="0" applyNumberFormat="1" applyFont="1" applyFill="1" applyBorder="1"/>
    <x:xf numFmtId="203" fontId="3" fillId="0" borderId="0" xfId="0" applyNumberFormat="1" applyFont="1" applyFill="1" applyBorder="1"/>
    <x:xf numFmtId="203" fontId="8" fillId="3" borderId="0" xfId="0" applyNumberFormat="1" applyFont="1" applyFill="1" applyBorder="1"/>
    <x:xf numFmtId="203" fontId="6" fillId="2" borderId="0" xfId="0" applyNumberFormat="1" applyFont="1" applyFill="1" applyBorder="1"/>
    <x:xf numFmtId="203" fontId="3" fillId="0" borderId="1" xfId="0" applyNumberFormat="1" applyFont="1" applyFill="1" applyBorder="1"/>
    <x:xf numFmtId="203" fontId="8" fillId="3" borderId="1" xfId="0" applyNumberFormat="1" applyFont="1" applyFill="1" applyBorder="1"/>
    <x:xf numFmtId="203" fontId="6" fillId="2" borderId="1" xfId="0" applyNumberFormat="1" applyFont="1" applyFill="1" applyBorder="1"/>
  </x:cellXfs>
  <x:cellStyles count="1">
    <x:cellStyle name="Normal" xfId="0"/>
  </x:cellStyles>
  <x:dxfs count="2">
    <x:dxf>
      <x:font>
        <x:color rgb="FFD03D3D"/>
      </x:font>
    </x:dxf>
    <x:dxf>
      <x:font>
        <x:color rgb="FFFFB3A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8b30c94ab4438" /><Relationship Type="http://schemas.openxmlformats.org/officeDocument/2006/relationships/theme" Target="/xl/theme/theme1.xml" Id="Rde6b41ebe4de427d" /><Relationship Type="http://schemas.openxmlformats.org/officeDocument/2006/relationships/sharedStrings" Target="/xl/sharedStrings.xml" Id="R722e81a8c89a480a" /><Relationship Type="http://schemas.openxmlformats.org/officeDocument/2006/relationships/worksheet" Target="/xl/worksheets/sheet1.xml" Id="R1ac94de32c0341b6" /><Relationship Type="http://schemas.openxmlformats.org/officeDocument/2006/relationships/worksheet" Target="/xl/worksheets/sheet2.xml" Id="R79559906d9464a5a" /><Relationship Type="http://schemas.openxmlformats.org/officeDocument/2006/relationships/worksheet" Target="/xl/worksheets/sheet3.xml" Id="R70c4498e69084892" /><Relationship Type="http://schemas.openxmlformats.org/officeDocument/2006/relationships/worksheet" Target="/xl/worksheets/sheet4.xml" Id="Rfb60c100bff743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6dc83f1fde48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estimada por mês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Receita (R$)</c:v>
          </c:tx>
          <c:marker>
            <c:symbol val="none"/>
          </c:marker>
          <c:cat>
            <c:strRef>
              <c:f>'Resumo'!$A$25:$A$36</c:f>
              <c:strCache>
                <c:ptCount val="0"/>
              </c:strCache>
            </c:strRef>
          </c:cat>
          <c:val>
            <c:numRef>
              <c:f>'Resumo'!$B$25:$B$36</c:f>
              <c:numCache>
                <c:formatCode>R$ #,##0.00;[Red](R$ #,##0.00);"-"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6dc83f1fde48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b26390357634390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3" max="3" width="27" hidden="0" customWidth="1"/>
    <x:col min="4" max="4" width="70" hidden="0" customWidth="1"/>
    <x:col min="2" max="2" width="98" hidden="0" customWidth="1"/>
  </x:cols>
  <x:sheetData>
    <x:row r="1" ht="25" customHeight="1">
      <x:c r="A1" s="10" t="str">
        <x:v>CHECKER NEWS | PREMISSAS ACADÊMICAS</x:v>
      </x:c>
      <x:c r="B1" s="10"/>
      <x:c r="C1" s="10"/>
      <x:c r="D1" s="10"/>
      <x:c r="E1" s="10"/>
      <x:c r="F1" s="10"/>
      <x:c r="G1" s="6"/>
      <x:c r="H1" s="6"/>
      <x:c r="I1" s="6"/>
      <x:c r="J1" s="6"/>
      <x:c r="K1" s="6"/>
      <x:c r="L1" s="6"/>
      <x:c r="M1" s="6"/>
    </x:row>
    <x:row r="2" ht="25" customHeight="1">
      <x:c r="A2" s="10"/>
      <x:c r="B2" s="10"/>
      <x:c r="C2" s="10"/>
      <x:c r="D2" s="10"/>
      <x:c r="E2" s="10"/>
      <x:c r="F2" s="10"/>
      <x:c r="G2" s="6"/>
      <x:c r="H2" s="6"/>
      <x:c r="I2" s="6"/>
      <x:c r="J2" s="6"/>
      <x:c r="K2" s="6"/>
      <x:c r="L2" s="6"/>
      <x:c r="M2" s="6"/>
    </x:row>
    <x:row r="3" ht="21" customHeight="1">
      <x:c r="A3" s="15" t="str">
        <x:v>Cenário enxuto e hipotético — não são gastos nem receitas efetivamente realizados.</x:v>
      </x:c>
      <x:c r="B3" s="15"/>
      <x:c r="C3" s="15"/>
      <x:c r="D3" s="15"/>
      <x:c r="E3" s="15"/>
      <x:c r="F3" s="15"/>
      <x:c r="G3" s="6"/>
      <x:c r="H3" s="6"/>
      <x:c r="I3" s="6"/>
      <x:c r="J3" s="6"/>
      <x:c r="K3" s="6"/>
      <x:c r="L3" s="6"/>
      <x:c r="M3" s="6"/>
    </x:row>
    <x:row r="4" ht="21" customHeight="1">
      <x:c r="A4" s="19" t="str">
        <x:v>Premissa</x:v>
      </x:c>
      <x:c r="B4" s="19" t="str">
        <x:v>Valor</x:v>
      </x:c>
      <x:c r="C4" s="19" t="str">
        <x:v>Natureza</x:v>
      </x:c>
      <x:c r="D4" s="19" t="str">
        <x:v>Justificativa / fonte</x:v>
      </x:c>
      <x:c r="E4" s="6"/>
      <x:c r="F4" s="6"/>
      <x:c r="G4" s="6"/>
      <x:c r="H4" s="6"/>
      <x:c r="I4" s="6"/>
      <x:c r="J4" s="6"/>
      <x:c r="K4" s="6"/>
      <x:c r="L4" s="6"/>
      <x:c r="M4" s="6"/>
    </x:row>
    <x:row r="5" ht="21" customHeight="1">
      <x:c r="A5" s="6" t="str">
        <x:v>Assinatura Premium (R$/mês)</x:v>
      </x:c>
      <x:c r="B5" s="74" t="n">
        <x:v>12.9</x:v>
      </x:c>
      <x:c r="C5" s="6" t="str">
        <x:v>Preço adotado na Etapa 3</x:v>
      </x:c>
      <x:c r="D5" s="6" t="str">
        <x:v>R$ 12,90 aprovado para a simulação; plano da etapa anterior revisado em arquivo separado neste pacote.</x:v>
      </x:c>
      <x:c r="E5" s="6"/>
      <x:c r="F5" s="6"/>
      <x:c r="G5" s="6"/>
      <x:c r="H5" s="6"/>
      <x:c r="I5" s="6"/>
      <x:c r="J5" s="6"/>
      <x:c r="K5" s="6"/>
      <x:c r="L5" s="6"/>
      <x:c r="M5" s="6"/>
    </x:row>
    <x:row r="6" ht="21" customHeight="1">
      <x:c r="A6" s="6" t="str">
        <x:v>Taxa variável de pagamento</x:v>
      </x:c>
      <x:c r="B6" s="76" t="n">
        <x:v>0.045</x:v>
      </x:c>
      <x:c r="C6" s="6" t="str">
        <x:v>Hipótese</x:v>
      </x:c>
      <x:c r="D6" s="6" t="str">
        <x:v>Estimativa para simulação; depende do adquirente</x:v>
      </x:c>
      <x:c r="E6" s="6"/>
      <x:c r="F6" s="6"/>
      <x:c r="G6" s="6"/>
      <x:c r="H6" s="6"/>
      <x:c r="I6" s="6"/>
      <x:c r="J6" s="6"/>
      <x:c r="K6" s="6"/>
      <x:c r="L6" s="6"/>
      <x:c r="M6" s="6"/>
    </x:row>
    <x:row r="7" ht="21" customHeight="1">
      <x:c r="A7" s="6" t="str">
        <x:v>Tarifa fixa por pagamento (R$)</x:v>
      </x:c>
      <x:c r="B7" s="74" t="n">
        <x:v>0.25</x:v>
      </x:c>
      <x:c r="C7" s="6" t="str">
        <x:v>Hipótese</x:v>
      </x:c>
      <x:c r="D7" s="6" t="str">
        <x:v>Estimativa adicional por transação aprovada</x:v>
      </x:c>
      <x:c r="E7" s="6"/>
      <x:c r="F7" s="6"/>
      <x:c r="G7" s="6"/>
      <x:c r="H7" s="6"/>
      <x:c r="I7" s="6"/>
      <x:c r="J7" s="6"/>
      <x:c r="K7" s="6"/>
      <x:c r="L7" s="6"/>
      <x:c r="M7" s="6"/>
    </x:row>
    <x:row r="8" ht="21" customHeight="1">
      <x:c r="A8" s="6" t="str">
        <x:v>Reserva para tributos</x:v>
      </x:c>
      <x:c r="B8" s="76" t="n">
        <x:v>0.06</x:v>
      </x:c>
      <x:c r="C8" s="6" t="str">
        <x:v>Hipótese</x:v>
      </x:c>
      <x:c r="D8" s="6" t="str">
        <x:v>Provisão didática, NÃO representa alíquota legal confirmada</x:v>
      </x:c>
      <x:c r="E8" s="6"/>
      <x:c r="F8" s="6"/>
      <x:c r="G8" s="6"/>
      <x:c r="H8" s="6"/>
      <x:c r="I8" s="6"/>
      <x:c r="J8" s="6"/>
      <x:c r="K8" s="6"/>
      <x:c r="L8" s="6"/>
      <x:c r="M8" s="6"/>
    </x:row>
    <x:row r="9" ht="21" customHeight="1">
      <x:c r="A9" s="6" t="str">
        <x:v>Consultas / usuário gratuito / mês</x:v>
      </x:c>
      <x:c r="B9" s="40" t="n">
        <x:v>1</x:v>
      </x:c>
      <x:c r="C9" s="6" t="str">
        <x:v>Regra de negócio simulada</x:v>
      </x:c>
      <x:c r="D9" s="6" t="str">
        <x:v>Limite reduz custo e incentiva o Premium</x:v>
      </x:c>
      <x:c r="E9" s="6"/>
      <x:c r="F9" s="6"/>
      <x:c r="G9" s="6"/>
      <x:c r="H9" s="6"/>
      <x:c r="I9" s="6"/>
      <x:c r="J9" s="6"/>
      <x:c r="K9" s="6"/>
      <x:c r="L9" s="6"/>
      <x:c r="M9" s="6"/>
    </x:row>
    <x:row r="10" ht="21" customHeight="1">
      <x:c r="A10" s="6" t="str">
        <x:v>Consultas / assinante Premium / mês</x:v>
      </x:c>
      <x:c r="B10" s="40" t="n">
        <x:v>8</x:v>
      </x:c>
      <x:c r="C10" s="6" t="str">
        <x:v>Regra de negócio simulada</x:v>
      </x:c>
      <x:c r="D10" s="6" t="str">
        <x:v>Consumo médio esperado, não limite contratual</x:v>
      </x:c>
      <x:c r="E10" s="6"/>
      <x:c r="F10" s="6"/>
      <x:c r="G10" s="6"/>
      <x:c r="H10" s="6"/>
      <x:c r="I10" s="6"/>
      <x:c r="J10" s="6"/>
      <x:c r="K10" s="6"/>
      <x:c r="L10" s="6"/>
      <x:c r="M10" s="6"/>
    </x:row>
    <x:row r="11" ht="21" customHeight="1">
      <x:c r="A11" s="6" t="str">
        <x:v>Custo médio por verificação (R$)</x:v>
      </x:c>
      <x:c r="B11" s="74" t="n">
        <x:v>0.25</x:v>
      </x:c>
      <x:c r="C11" s="6" t="str">
        <x:v>Hipótese técnica crítica</x:v>
      </x:c>
      <x:c r="D11" s="6" t="str">
        <x:v>API de texto + busca/consulta com teto de custo; validar</x:v>
      </x:c>
      <x:c r="E11" s="6"/>
      <x:c r="F11" s="6"/>
      <x:c r="G11" s="6"/>
      <x:c r="H11" s="6"/>
      <x:c r="I11" s="6"/>
      <x:c r="J11" s="6"/>
      <x:c r="K11" s="6"/>
      <x:c r="L11" s="6"/>
      <x:c r="M11" s="6"/>
    </x:row>
    <x:row r="12" ht="21" customHeight="1">
      <x:c r="A12" s="6" t="str">
        <x:v>Domínio .br anual (R$)</x:v>
      </x:c>
      <x:c r="B12" s="74" t="n">
        <x:v>40</x:v>
      </x:c>
      <x:c r="C12" s="6" t="str">
        <x:v>Preço de referência</x:v>
      </x:c>
      <x:c r="D12" s="6" t="str">
        <x:v>https://registro.br/dominio</x:v>
      </x:c>
      <x:c r="E12" s="6"/>
      <x:c r="F12" s="6"/>
      <x:c r="G12" s="6"/>
      <x:c r="H12" s="6"/>
      <x:c r="I12" s="6"/>
      <x:c r="J12" s="6"/>
      <x:c r="K12" s="6"/>
      <x:c r="L12" s="6"/>
      <x:c r="M12" s="6"/>
    </x:row>
    <x:row r="13" ht="21" customHeight="1">
      <x:c r="A13" s="6" t="str">
        <x:v>Hospedagem do site por mês (R$)</x:v>
      </x:c>
      <x:c r="B13" s="74" t="n">
        <x:v>0</x:v>
      </x:c>
      <x:c r="C13" s="6" t="str">
        <x:v>Franquia gratuita</x:v>
      </x:c>
      <x:c r="D13" s="6" t="str">
        <x:v>https://developers.cloudflare.com/pages/functions/pricing/</x:v>
      </x:c>
      <x:c r="E13" s="6"/>
      <x:c r="F13" s="6"/>
      <x:c r="G13" s="6"/>
      <x:c r="H13" s="6"/>
      <x:c r="I13" s="6"/>
      <x:c r="J13" s="6"/>
      <x:c r="K13" s="6"/>
      <x:c r="L13" s="6"/>
      <x:c r="M13" s="6"/>
    </x:row>
    <x:row r="14" ht="21" customHeight="1">
      <x:c r="A14" s="6" t="str">
        <x:v>Banco de dados por mês (R$)</x:v>
      </x:c>
      <x:c r="B14" s="74" t="n">
        <x:v>0</x:v>
      </x:c>
      <x:c r="C14" s="6" t="str">
        <x:v>Franquia gratuita</x:v>
      </x:c>
      <x:c r="D14" s="6" t="str">
        <x:v>https://supabase.com/pricing</x:v>
      </x:c>
      <x:c r="E14" s="6"/>
      <x:c r="F14" s="6"/>
      <x:c r="G14" s="6"/>
      <x:c r="H14" s="6"/>
      <x:c r="I14" s="6"/>
      <x:c r="J14" s="6"/>
      <x:c r="K14" s="6"/>
      <x:c r="L14" s="6"/>
      <x:c r="M14" s="6"/>
    </x:row>
    <x:row r="15" ht="21" customHeight="1">
      <x:c r="A15" s="6" t="str">
        <x:v>Investimento fixo inicial (R$)</x:v>
      </x:c>
      <x:c r="B15" s="74" t="n">
        <x:v>0</x:v>
      </x:c>
      <x:c r="C15" s="6" t="str">
        <x:v>Hipótese do MVP acadêmico</x:v>
      </x:c>
      <x:c r="D15" s="6" t="str">
        <x:v>Sem equipamentos/contratações; capital de giro para déficits está no Resumo.</x:v>
      </x:c>
      <x:c r="E15" s="6"/>
      <x:c r="F15" s="6"/>
      <x:c r="G15" s="6"/>
      <x:c r="H15" s="6"/>
      <x:c r="I15" s="6"/>
      <x:c r="J15" s="6"/>
      <x:c r="K15" s="6"/>
      <x:c r="L15" s="6"/>
      <x:c r="M15" s="6"/>
    </x:row>
    <x:row r="16" ht="21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</x:row>
    <x:row r="17" ht="24" customHeight="1">
      <x:c r="A17" s="19" t="str">
        <x:v>CRITÉRIOS E LIMITAÇÕES</x:v>
      </x:c>
      <x:c r="B17" s="19"/>
      <x:c r="C17" s="19"/>
      <x:c r="D17" s="19"/>
      <x:c r="E17" s="19"/>
      <x:c r="F17" s="19"/>
      <x:c r="G17" s="6"/>
      <x:c r="H17" s="6"/>
      <x:c r="I17" s="6"/>
      <x:c r="J17" s="6"/>
      <x:c r="K17" s="6"/>
      <x:c r="L17" s="6"/>
      <x:c r="M17" s="6"/>
    </x:row>
    <x:row r="18" ht="21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</x:row>
    <x:row r="19" ht="24" customHeight="1">
      <x:c r="A19" s="31" t="str">
        <x:v>1) Os planos gratuitos só custam R$ 0 enquanto o projeto respeitar suas franquias/condições de uso.</x:v>
      </x:c>
      <x:c r="B19" s="31"/>
      <x:c r="C19" s="31"/>
      <x:c r="D19" s="31"/>
      <x:c r="E19" s="31"/>
      <x:c r="F19" s="31"/>
      <x:c r="G19" s="6"/>
      <x:c r="H19" s="6"/>
      <x:c r="I19" s="6"/>
      <x:c r="J19" s="6"/>
      <x:c r="K19" s="6"/>
      <x:c r="L19" s="6"/>
      <x:c r="M19" s="6"/>
    </x:row>
    <x:row r="20" ht="29" customHeight="1">
      <x:c r="A20" s="35" t="str">
        <x:v>2) Custos com salários, pró-labore, contador, constituição da empresa, pesquisa editorial e licenças NÃO foram contabilizados.</x:v>
      </x:c>
      <x:c r="B20" s="35"/>
      <x:c r="C20" s="35"/>
      <x:c r="D20" s="35"/>
      <x:c r="E20" s="35"/>
      <x:c r="F20" s="35"/>
      <x:c r="G20" s="6"/>
      <x:c r="H20" s="6"/>
      <x:c r="I20" s="6"/>
      <x:c r="J20" s="6"/>
      <x:c r="K20" s="6"/>
      <x:c r="L20" s="6"/>
      <x:c r="M20" s="6"/>
    </x:row>
    <x:row r="21" ht="29" customHeight="1">
      <x:c r="A21" s="31" t="str">
        <x:v>3) O custo por verificação e as taxas são hipóteses — confira fornecedores e regras de pesquisa antes de lançar.</x:v>
      </x:c>
      <x:c r="B21" s="31"/>
      <x:c r="C21" s="31"/>
      <x:c r="D21" s="31"/>
      <x:c r="E21" s="31"/>
      <x:c r="F21" s="31"/>
      <x:c r="G21" s="6"/>
      <x:c r="H21" s="6"/>
      <x:c r="I21" s="6"/>
      <x:c r="J21" s="6"/>
      <x:c r="K21" s="6"/>
      <x:c r="L21" s="6"/>
      <x:c r="M21" s="6"/>
    </x:row>
    <x:row r="22" ht="24" customHeight="1">
      <x:c r="A22" s="35" t="str">
        <x:v>4) Saldo acumulado negativo sinaliza necessidade de capital de giro hipotética; não corresponde a uma dívida efetiva.</x:v>
      </x:c>
      <x:c r="B22" s="35"/>
      <x:c r="C22" s="35"/>
      <x:c r="D22" s="35"/>
      <x:c r="E22" s="35"/>
      <x:c r="F22" s="35"/>
      <x:c r="G22" s="6"/>
      <x:c r="H22" s="6"/>
      <x:c r="I22" s="6"/>
      <x:c r="J22" s="6"/>
      <x:c r="K22" s="6"/>
      <x:c r="L22" s="6"/>
      <x:c r="M22" s="6"/>
    </x:row>
    <x:row r="23" ht="24" customHeight="1">
      <x:c r="A23" s="31" t="str">
        <x:v>5) Projeção considera mensalidades recebidas no mesmo mês; inadimplência, estorno e churn não são modelados.</x:v>
      </x:c>
      <x:c r="B23" s="31"/>
      <x:c r="C23" s="31"/>
      <x:c r="D23" s="31"/>
      <x:c r="E23" s="31"/>
      <x:c r="F23" s="31"/>
      <x:c r="G23" s="6"/>
      <x:c r="H23" s="6"/>
      <x:c r="I23" s="6"/>
      <x:c r="J23" s="6"/>
      <x:c r="K23" s="6"/>
      <x:c r="L23" s="6"/>
      <x:c r="M23" s="6"/>
    </x:row>
    <x:row r="24" ht="24" customHeight="1">
      <x:c r="A24" s="35" t="str">
        <x:v>6) Não há receita de publicidade/institucional, evitando inflar a expectativa de faturamento.</x:v>
      </x:c>
      <x:c r="B24" s="35"/>
      <x:c r="C24" s="35"/>
      <x:c r="D24" s="35"/>
      <x:c r="E24" s="35"/>
      <x:c r="F24" s="35"/>
      <x:c r="G24" s="6"/>
      <x:c r="H24" s="6"/>
      <x:c r="I24" s="6"/>
      <x:c r="J24" s="6"/>
      <x:c r="K24" s="6"/>
      <x:c r="L24" s="6"/>
      <x:c r="M24" s="6"/>
    </x:row>
    <x:row r="25" ht="21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</x:row>
    <x:row r="26" ht="21" customHeight="1">
      <x:c r="A26" s="19" t="str">
        <x:v>Fontes oficiais</x:v>
      </x:c>
      <x:c r="B26" s="19" t="str">
        <x:v>Endereço</x:v>
      </x:c>
      <x:c r="C26" s="19" t="str"/>
      <x:c r="D26" s="19" t="str">
        <x:v>Observação</x:v>
      </x:c>
      <x:c r="E26" s="6"/>
      <x:c r="F26" s="6"/>
      <x:c r="G26" s="6"/>
      <x:c r="H26" s="6"/>
      <x:c r="I26" s="6"/>
      <x:c r="J26" s="6"/>
      <x:c r="K26" s="6"/>
      <x:c r="L26" s="6"/>
      <x:c r="M26" s="6"/>
    </x:row>
    <x:row r="27" ht="21" customHeight="1">
      <x:c r="A27" s="6" t="str">
        <x:v>Registro.br</x:v>
      </x:c>
      <x:c r="B27" s="6" t="str">
        <x:v>https://registro.br/dominio</x:v>
      </x:c>
      <x:c r="C27" s="6" t="str"/>
      <x:c r="D27" s="6" t="str">
        <x:v>R$ 40 por ano</x:v>
      </x:c>
      <x:c r="E27" s="6"/>
      <x:c r="F27" s="6"/>
      <x:c r="G27" s="6"/>
      <x:c r="H27" s="6"/>
      <x:c r="I27" s="6"/>
      <x:c r="J27" s="6"/>
      <x:c r="K27" s="6"/>
      <x:c r="L27" s="6"/>
      <x:c r="M27" s="6"/>
    </x:row>
    <x:row r="28" ht="21" customHeight="1">
      <x:c r="A28" s="6" t="str">
        <x:v>Cloudflare Pages</x:v>
      </x:c>
      <x:c r="B28" s="6" t="str">
        <x:v>https://developers.cloudflare.com/pages/functions/pricing/</x:v>
      </x:c>
      <x:c r="C28" s="6" t="str"/>
      <x:c r="D28" s="6" t="str">
        <x:v>Recursos estáticos gratuitos; limite nas funções</x:v>
      </x:c>
      <x:c r="E28" s="6"/>
      <x:c r="F28" s="6"/>
      <x:c r="G28" s="6"/>
      <x:c r="H28" s="6"/>
      <x:c r="I28" s="6"/>
      <x:c r="J28" s="6"/>
      <x:c r="K28" s="6"/>
      <x:c r="L28" s="6"/>
      <x:c r="M28" s="6"/>
    </x:row>
    <x:row r="29" ht="21" customHeight="1">
      <x:c r="A29" s="6" t="str">
        <x:v>Supabase</x:v>
      </x:c>
      <x:c r="B29" s="6" t="str">
        <x:v>https://supabase.com/pricing</x:v>
      </x:c>
      <x:c r="C29" s="6" t="str"/>
      <x:c r="D29" s="6" t="str">
        <x:v>Plano Free tem limites; Pro começa em US$ 25</x:v>
      </x:c>
      <x:c r="E29" s="6"/>
      <x:c r="F29" s="6"/>
      <x:c r="G29" s="6"/>
      <x:c r="H29" s="6"/>
      <x:c r="I29" s="6"/>
      <x:c r="J29" s="6"/>
      <x:c r="K29" s="6"/>
      <x:c r="L29" s="6"/>
      <x:c r="M29" s="6"/>
    </x:row>
    <x:row r="30" ht="21" customHeight="1">
      <x:c r="A30" s="6" t="str">
        <x:v>Plano de Negócios</x:v>
      </x:c>
      <x:c r="B30" s="6" t="str">
        <x:v>https://github.com/ICEI-PUC-Minas-PPC-CC/TAI-3-Checker-News/blob/main/Plano%20de%20Neg%C3%B3cios</x:v>
      </x:c>
      <x:c r="C30" s="6" t="str"/>
      <x:c r="D30" s="6" t="str">
        <x:v>Arquivo da etapa anterior: publicar a revisão do Plano de Negócios com R$ 12,90 e modelo de MVP enxuto.</x:v>
      </x:c>
      <x:c r="E30" s="6"/>
      <x:c r="F30" s="6"/>
      <x:c r="G30" s="6"/>
      <x:c r="H30" s="6"/>
      <x:c r="I30" s="6"/>
      <x:c r="J30" s="6"/>
      <x:c r="K30" s="6"/>
      <x:c r="L30" s="6"/>
      <x:c r="M30" s="6"/>
    </x:row>
    <x:row r="31" ht="21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</x:row>
    <x:row r="32" ht="21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</x:row>
    <x:row r="33" ht="21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</x:row>
    <x:row r="34" ht="21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</x:row>
    <x:row r="35" ht="21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</x:row>
    <x:row r="36" ht="21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</x:row>
    <x:row r="37" ht="21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</x:row>
    <x:row r="38" ht="21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 ht="21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  <x:row r="40" ht="21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</x:row>
  </x:sheetData>
  <x:mergeCells>
    <x:mergeCell ref="A1:F2"/>
    <x:mergeCell ref="A3:F3"/>
    <x:mergeCell ref="A17:F17"/>
    <x:mergeCell ref="A19:F19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5" customHeight="1">
      <x:c r="A1" s="10" t="str">
        <x:v>CHECKER NEWS | FLUXO DE CAIXA • 12 MESES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5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1" customHeight="1">
      <x:c r="A3" s="15" t="str">
        <x:v>PROJEÇÃO HIPOTÉTICA: nov/2026–out/2027 • Modelo freemium, equipe voluntária, serviços gratuitos sob limites • valores em R$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 ht="26" customHeight="1">
      <x:c r="A4" s="19" t="str">
        <x:v>Item / mês</x:v>
      </x:c>
      <x:c r="B4" s="19" t="str">
        <x:v>Nov/26</x:v>
      </x:c>
      <x:c r="C4" s="19" t="str">
        <x:v>Dez/26</x:v>
      </x:c>
      <x:c r="D4" s="19" t="str">
        <x:v>Jan/27</x:v>
      </x:c>
      <x:c r="E4" s="19" t="str">
        <x:v>Fev/27</x:v>
      </x:c>
      <x:c r="F4" s="19" t="str">
        <x:v>Mar/27</x:v>
      </x:c>
      <x:c r="G4" s="19" t="str">
        <x:v>Abr/27</x:v>
      </x:c>
      <x:c r="H4" s="19" t="str">
        <x:v>Mai/27</x:v>
      </x:c>
      <x:c r="I4" s="19" t="str">
        <x:v>Jun/27</x:v>
      </x:c>
      <x:c r="J4" s="19" t="str">
        <x:v>Jul/27</x:v>
      </x:c>
      <x:c r="K4" s="19" t="str">
        <x:v>Ago/27</x:v>
      </x:c>
      <x:c r="L4" s="19" t="str">
        <x:v>Set/27</x:v>
      </x:c>
      <x:c r="M4" s="19" t="str">
        <x:v>Out/27</x:v>
      </x:c>
    </x:row>
    <x:row r="5" ht="21" customHeight="1">
      <x:c r="A5" s="6" t="str">
        <x:v>Etapa</x:v>
      </x:c>
      <x:c r="B5" s="6" t="str">
        <x:v>Protótipo</x:v>
      </x:c>
      <x:c r="C5" s="6" t="str">
        <x:v>Protótipo</x:v>
      </x:c>
      <x:c r="D5" s="6" t="str">
        <x:v>Protótipo</x:v>
      </x:c>
      <x:c r="E5" s="6" t="str">
        <x:v>Protótipo</x:v>
      </x:c>
      <x:c r="F5" s="6" t="str">
        <x:v>Piloto pago</x:v>
      </x:c>
      <x:c r="G5" s="6" t="str">
        <x:v>Piloto pago</x:v>
      </x:c>
      <x:c r="H5" s="6" t="str">
        <x:v>Piloto pago</x:v>
      </x:c>
      <x:c r="I5" s="6" t="str">
        <x:v>Piloto pago</x:v>
      </x:c>
      <x:c r="J5" s="6" t="str">
        <x:v>Crescimento</x:v>
      </x:c>
      <x:c r="K5" s="6" t="str">
        <x:v>Crescimento</x:v>
      </x:c>
      <x:c r="L5" s="6" t="str">
        <x:v>Crescimento</x:v>
      </x:c>
      <x:c r="M5" s="6" t="str">
        <x:v>Crescimento</x:v>
      </x:c>
    </x:row>
    <x:row r="6" ht="21" customHeight="1">
      <x:c r="A6" s="6" t="str">
        <x:v>Usuários gratuitos ativos (hipótese)</x:v>
      </x:c>
      <x:c r="B6" s="40" t="n">
        <x:v>25</x:v>
      </x:c>
      <x:c r="C6" s="40" t="n">
        <x:v>40</x:v>
      </x:c>
      <x:c r="D6" s="40" t="n">
        <x:v>70</x:v>
      </x:c>
      <x:c r="E6" s="40" t="n">
        <x:v>100</x:v>
      </x:c>
      <x:c r="F6" s="40" t="n">
        <x:v>140</x:v>
      </x:c>
      <x:c r="G6" s="40" t="n">
        <x:v>180</x:v>
      </x:c>
      <x:c r="H6" s="40" t="n">
        <x:v>240</x:v>
      </x:c>
      <x:c r="I6" s="40" t="n">
        <x:v>320</x:v>
      </x:c>
      <x:c r="J6" s="40" t="n">
        <x:v>420</x:v>
      </x:c>
      <x:c r="K6" s="40" t="n">
        <x:v>550</x:v>
      </x:c>
      <x:c r="L6" s="40" t="n">
        <x:v>700</x:v>
      </x:c>
      <x:c r="M6" s="40" t="n">
        <x:v>850</x:v>
      </x:c>
    </x:row>
    <x:row r="7" ht="21" customHeight="1">
      <x:c r="A7" s="6" t="str">
        <x:v>Assinantes Premium ativos (hipótese)</x:v>
      </x:c>
      <x:c r="B7" s="40" t="n">
        <x:v>0</x:v>
      </x:c>
      <x:c r="C7" s="40" t="n">
        <x:v>0</x:v>
      </x:c>
      <x:c r="D7" s="40" t="n">
        <x:v>0</x:v>
      </x:c>
      <x:c r="E7" s="40" t="n">
        <x:v>0</x:v>
      </x:c>
      <x:c r="F7" s="40" t="n">
        <x:v>5</x:v>
      </x:c>
      <x:c r="G7" s="40" t="n">
        <x:v>8</x:v>
      </x:c>
      <x:c r="H7" s="40" t="n">
        <x:v>12</x:v>
      </x:c>
      <x:c r="I7" s="40" t="n">
        <x:v>16</x:v>
      </x:c>
      <x:c r="J7" s="40" t="n">
        <x:v>22</x:v>
      </x:c>
      <x:c r="K7" s="40" t="n">
        <x:v>29</x:v>
      </x:c>
      <x:c r="L7" s="40" t="n">
        <x:v>37</x:v>
      </x:c>
      <x:c r="M7" s="40" t="n">
        <x:v>45</x:v>
      </x:c>
    </x:row>
    <x:row r="8" ht="21" customHeight="1">
      <x:c r="A8" s="6" t="str">
        <x:v>Análises mensais estimadas</x:v>
      </x:c>
      <x:c r="B8" s="38" t="n">
        <x:f>B6*Premissas!$B$9+B7*Premissas!$B$10</x:f>
        <x:v>25</x:v>
      </x:c>
      <x:c r="C8" s="38" t="n">
        <x:f>C6*Premissas!$B$9+C7*Premissas!$B$10</x:f>
        <x:v>40</x:v>
      </x:c>
      <x:c r="D8" s="38" t="n">
        <x:f>D6*Premissas!$B$9+D7*Premissas!$B$10</x:f>
        <x:v>70</x:v>
      </x:c>
      <x:c r="E8" s="38" t="n">
        <x:f>E6*Premissas!$B$9+E7*Premissas!$B$10</x:f>
        <x:v>100</x:v>
      </x:c>
      <x:c r="F8" s="38" t="n">
        <x:f>F6*Premissas!$B$9+F7*Premissas!$B$10</x:f>
        <x:v>180</x:v>
      </x:c>
      <x:c r="G8" s="38" t="n">
        <x:f>G6*Premissas!$B$9+G7*Premissas!$B$10</x:f>
        <x:v>244</x:v>
      </x:c>
      <x:c r="H8" s="38" t="n">
        <x:f>H6*Premissas!$B$9+H7*Premissas!$B$10</x:f>
        <x:v>336</x:v>
      </x:c>
      <x:c r="I8" s="38" t="n">
        <x:f>I6*Premissas!$B$9+I7*Premissas!$B$10</x:f>
        <x:v>448</x:v>
      </x:c>
      <x:c r="J8" s="38" t="n">
        <x:f>J6*Premissas!$B$9+J7*Premissas!$B$10</x:f>
        <x:v>596</x:v>
      </x:c>
      <x:c r="K8" s="38" t="n">
        <x:f>K6*Premissas!$B$9+K7*Premissas!$B$10</x:f>
        <x:v>782</x:v>
      </x:c>
      <x:c r="L8" s="38" t="n">
        <x:f>L6*Premissas!$B$9+L7*Premissas!$B$10</x:f>
        <x:v>996</x:v>
      </x:c>
      <x:c r="M8" s="38" t="n">
        <x:f>M6*Premissas!$B$9+M7*Premissas!$B$10</x:f>
        <x:v>1210</x:v>
      </x:c>
    </x:row>
    <x:row r="9" ht="21" customHeight="1">
      <x:c r="A9" s="6" t="str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</x:row>
    <x:row r="10" ht="21" customHeight="1">
      <x:c r="A10" s="6" t="str">
        <x:v>Mensalidade Premium (R$)</x:v>
      </x:c>
      <x:c r="B10" s="70" t="n">
        <x:f>Premissas!$B$5</x:f>
        <x:v>12.9</x:v>
      </x:c>
      <x:c r="C10" s="70" t="n">
        <x:f>Premissas!$B$5</x:f>
        <x:v>12.9</x:v>
      </x:c>
      <x:c r="D10" s="70" t="n">
        <x:f>Premissas!$B$5</x:f>
        <x:v>12.9</x:v>
      </x:c>
      <x:c r="E10" s="70" t="n">
        <x:f>Premissas!$B$5</x:f>
        <x:v>12.9</x:v>
      </x:c>
      <x:c r="F10" s="70" t="n">
        <x:f>Premissas!$B$5</x:f>
        <x:v>12.9</x:v>
      </x:c>
      <x:c r="G10" s="70" t="n">
        <x:f>Premissas!$B$5</x:f>
        <x:v>12.9</x:v>
      </x:c>
      <x:c r="H10" s="70" t="n">
        <x:f>Premissas!$B$5</x:f>
        <x:v>12.9</x:v>
      </x:c>
      <x:c r="I10" s="70" t="n">
        <x:f>Premissas!$B$5</x:f>
        <x:v>12.9</x:v>
      </x:c>
      <x:c r="J10" s="70" t="n">
        <x:f>Premissas!$B$5</x:f>
        <x:v>12.9</x:v>
      </x:c>
      <x:c r="K10" s="70" t="n">
        <x:f>Premissas!$B$5</x:f>
        <x:v>12.9</x:v>
      </x:c>
      <x:c r="L10" s="70" t="n">
        <x:f>Premissas!$B$5</x:f>
        <x:v>12.9</x:v>
      </x:c>
      <x:c r="M10" s="70" t="n">
        <x:f>Premissas!$B$5</x:f>
        <x:v>12.9</x:v>
      </x:c>
    </x:row>
    <x:row r="11" ht="21" customHeight="1">
      <x:c r="A11" s="6" t="str">
        <x:v>Receita Premium (R$)</x:v>
      </x:c>
      <x:c r="B11" s="78" t="n">
        <x:f>B7*B10</x:f>
        <x:v>0</x:v>
      </x:c>
      <x:c r="C11" s="78" t="n">
        <x:f>C7*C10</x:f>
        <x:v>0</x:v>
      </x:c>
      <x:c r="D11" s="78" t="n">
        <x:f>D7*D10</x:f>
        <x:v>0</x:v>
      </x:c>
      <x:c r="E11" s="78" t="n">
        <x:f>E7*E10</x:f>
        <x:v>0</x:v>
      </x:c>
      <x:c r="F11" s="78" t="n">
        <x:f>F7*F10</x:f>
        <x:v>64.5</x:v>
      </x:c>
      <x:c r="G11" s="78" t="n">
        <x:f>G7*G10</x:f>
        <x:v>103.2</x:v>
      </x:c>
      <x:c r="H11" s="78" t="n">
        <x:f>H7*H10</x:f>
        <x:v>154.8</x:v>
      </x:c>
      <x:c r="I11" s="78" t="n">
        <x:f>I7*I10</x:f>
        <x:v>206.4</x:v>
      </x:c>
      <x:c r="J11" s="78" t="n">
        <x:f>J7*J10</x:f>
        <x:v>283.8</x:v>
      </x:c>
      <x:c r="K11" s="78" t="n">
        <x:f>K7*K10</x:f>
        <x:v>374.1</x:v>
      </x:c>
      <x:c r="L11" s="78" t="n">
        <x:f>L7*L10</x:f>
        <x:v>477.3</x:v>
      </x:c>
      <x:c r="M11" s="78" t="n">
        <x:f>M7*M10</x:f>
        <x:v>580.5</x:v>
      </x:c>
    </x:row>
    <x:row r="12" ht="21" customHeight="1">
      <x:c r="A12" s="6" t="str">
        <x:v>Outras receitas (R$)</x:v>
      </x:c>
      <x:c r="B12" s="78" t="n">
        <x:v>0</x:v>
      </x:c>
      <x:c r="C12" s="78" t="n">
        <x:v>0</x:v>
      </x:c>
      <x:c r="D12" s="78" t="n">
        <x:v>0</x:v>
      </x:c>
      <x:c r="E12" s="78" t="n">
        <x:v>0</x:v>
      </x:c>
      <x:c r="F12" s="78" t="n">
        <x:v>0</x:v>
      </x:c>
      <x:c r="G12" s="78" t="n">
        <x:v>0</x:v>
      </x:c>
      <x:c r="H12" s="78" t="n">
        <x:v>0</x:v>
      </x:c>
      <x:c r="I12" s="78" t="n">
        <x:v>0</x:v>
      </x:c>
      <x:c r="J12" s="78" t="n">
        <x:v>0</x:v>
      </x:c>
      <x:c r="K12" s="78" t="n">
        <x:v>0</x:v>
      </x:c>
      <x:c r="L12" s="78" t="n">
        <x:v>0</x:v>
      </x:c>
      <x:c r="M12" s="78" t="n">
        <x:v>0</x:v>
      </x:c>
    </x:row>
    <x:row r="13" ht="25" customHeight="1">
      <x:c r="A13" s="45" t="str">
        <x:v>TOTAL DE ENTRADAS (R$)</x:v>
      </x:c>
      <x:c r="B13" s="79" t="n">
        <x:f>SUM(B11:B12)</x:f>
        <x:v>0</x:v>
      </x:c>
      <x:c r="C13" s="79" t="n">
        <x:f>SUM(C11:C12)</x:f>
        <x:v>0</x:v>
      </x:c>
      <x:c r="D13" s="79" t="n">
        <x:f>SUM(D11:D12)</x:f>
        <x:v>0</x:v>
      </x:c>
      <x:c r="E13" s="79" t="n">
        <x:f>SUM(E11:E12)</x:f>
        <x:v>0</x:v>
      </x:c>
      <x:c r="F13" s="79" t="n">
        <x:f>SUM(F11:F12)</x:f>
        <x:v>64.5</x:v>
      </x:c>
      <x:c r="G13" s="79" t="n">
        <x:f>SUM(G11:G12)</x:f>
        <x:v>103.2</x:v>
      </x:c>
      <x:c r="H13" s="79" t="n">
        <x:f>SUM(H11:H12)</x:f>
        <x:v>154.8</x:v>
      </x:c>
      <x:c r="I13" s="79" t="n">
        <x:f>SUM(I11:I12)</x:f>
        <x:v>206.4</x:v>
      </x:c>
      <x:c r="J13" s="79" t="n">
        <x:f>SUM(J11:J12)</x:f>
        <x:v>283.8</x:v>
      </x:c>
      <x:c r="K13" s="79" t="n">
        <x:f>SUM(K11:K12)</x:f>
        <x:v>374.1</x:v>
      </x:c>
      <x:c r="L13" s="79" t="n">
        <x:f>SUM(L11:L12)</x:f>
        <x:v>477.3</x:v>
      </x:c>
      <x:c r="M13" s="79" t="n">
        <x:f>SUM(M11:M12)</x:f>
        <x:v>580.5</x:v>
      </x:c>
    </x:row>
    <x:row r="14" ht="21" customHeight="1">
      <x:c r="A14" s="6" t="str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</x:row>
    <x:row r="15" ht="21" customHeight="1">
      <x:c r="A15" s="6" t="str">
        <x:v>Hospedagem (R$)</x:v>
      </x:c>
      <x:c r="B15" s="70" t="n">
        <x:f>Premissas!$B$13</x:f>
        <x:v>0</x:v>
      </x:c>
      <x:c r="C15" s="70" t="n">
        <x:f>Premissas!$B$13</x:f>
        <x:v>0</x:v>
      </x:c>
      <x:c r="D15" s="70" t="n">
        <x:f>Premissas!$B$13</x:f>
        <x:v>0</x:v>
      </x:c>
      <x:c r="E15" s="70" t="n">
        <x:f>Premissas!$B$13</x:f>
        <x:v>0</x:v>
      </x:c>
      <x:c r="F15" s="70" t="n">
        <x:f>Premissas!$B$13</x:f>
        <x:v>0</x:v>
      </x:c>
      <x:c r="G15" s="70" t="n">
        <x:f>Premissas!$B$13</x:f>
        <x:v>0</x:v>
      </x:c>
      <x:c r="H15" s="70" t="n">
        <x:f>Premissas!$B$13</x:f>
        <x:v>0</x:v>
      </x:c>
      <x:c r="I15" s="70" t="n">
        <x:f>Premissas!$B$13</x:f>
        <x:v>0</x:v>
      </x:c>
      <x:c r="J15" s="70" t="n">
        <x:f>Premissas!$B$13</x:f>
        <x:v>0</x:v>
      </x:c>
      <x:c r="K15" s="70" t="n">
        <x:f>Premissas!$B$13</x:f>
        <x:v>0</x:v>
      </x:c>
      <x:c r="L15" s="70" t="n">
        <x:f>Premissas!$B$13</x:f>
        <x:v>0</x:v>
      </x:c>
      <x:c r="M15" s="70" t="n">
        <x:f>Premissas!$B$13</x:f>
        <x:v>0</x:v>
      </x:c>
    </x:row>
    <x:row r="16" ht="21" customHeight="1">
      <x:c r="A16" s="6" t="str">
        <x:v>Banco de dados (R$)</x:v>
      </x:c>
      <x:c r="B16" s="70" t="n">
        <x:f>Premissas!$B$14</x:f>
        <x:v>0</x:v>
      </x:c>
      <x:c r="C16" s="70" t="n">
        <x:f>Premissas!$B$14</x:f>
        <x:v>0</x:v>
      </x:c>
      <x:c r="D16" s="70" t="n">
        <x:f>Premissas!$B$14</x:f>
        <x:v>0</x:v>
      </x:c>
      <x:c r="E16" s="70" t="n">
        <x:f>Premissas!$B$14</x:f>
        <x:v>0</x:v>
      </x:c>
      <x:c r="F16" s="70" t="n">
        <x:f>Premissas!$B$14</x:f>
        <x:v>0</x:v>
      </x:c>
      <x:c r="G16" s="70" t="n">
        <x:f>Premissas!$B$14</x:f>
        <x:v>0</x:v>
      </x:c>
      <x:c r="H16" s="70" t="n">
        <x:f>Premissas!$B$14</x:f>
        <x:v>0</x:v>
      </x:c>
      <x:c r="I16" s="70" t="n">
        <x:f>Premissas!$B$14</x:f>
        <x:v>0</x:v>
      </x:c>
      <x:c r="J16" s="70" t="n">
        <x:f>Premissas!$B$14</x:f>
        <x:v>0</x:v>
      </x:c>
      <x:c r="K16" s="70" t="n">
        <x:f>Premissas!$B$14</x:f>
        <x:v>0</x:v>
      </x:c>
      <x:c r="L16" s="70" t="n">
        <x:f>Premissas!$B$14</x:f>
        <x:v>0</x:v>
      </x:c>
      <x:c r="M16" s="70" t="n">
        <x:f>Premissas!$B$14</x:f>
        <x:v>0</x:v>
      </x:c>
    </x:row>
    <x:row r="17" ht="21" customHeight="1">
      <x:c r="A17" s="6" t="str">
        <x:v>APIs e verificações (R$)</x:v>
      </x:c>
      <x:c r="B17" s="78" t="n">
        <x:f>B8*Premissas!$B$11</x:f>
        <x:v>6.25</x:v>
      </x:c>
      <x:c r="C17" s="78" t="n">
        <x:f>C8*Premissas!$B$11</x:f>
        <x:v>10</x:v>
      </x:c>
      <x:c r="D17" s="78" t="n">
        <x:f>D8*Premissas!$B$11</x:f>
        <x:v>17.5</x:v>
      </x:c>
      <x:c r="E17" s="78" t="n">
        <x:f>E8*Premissas!$B$11</x:f>
        <x:v>25</x:v>
      </x:c>
      <x:c r="F17" s="78" t="n">
        <x:f>F8*Premissas!$B$11</x:f>
        <x:v>45</x:v>
      </x:c>
      <x:c r="G17" s="78" t="n">
        <x:f>G8*Premissas!$B$11</x:f>
        <x:v>61</x:v>
      </x:c>
      <x:c r="H17" s="78" t="n">
        <x:f>H8*Premissas!$B$11</x:f>
        <x:v>84</x:v>
      </x:c>
      <x:c r="I17" s="78" t="n">
        <x:f>I8*Premissas!$B$11</x:f>
        <x:v>112</x:v>
      </x:c>
      <x:c r="J17" s="78" t="n">
        <x:f>J8*Premissas!$B$11</x:f>
        <x:v>149</x:v>
      </x:c>
      <x:c r="K17" s="78" t="n">
        <x:f>K8*Premissas!$B$11</x:f>
        <x:v>195.5</x:v>
      </x:c>
      <x:c r="L17" s="78" t="n">
        <x:f>L8*Premissas!$B$11</x:f>
        <x:v>249</x:v>
      </x:c>
      <x:c r="M17" s="78" t="n">
        <x:f>M8*Premissas!$B$11</x:f>
        <x:v>302.5</x:v>
      </x:c>
    </x:row>
    <x:row r="18" ht="21" customHeight="1">
      <x:c r="A18" s="6" t="str">
        <x:v>Divulgação/marketing (R$)</x:v>
      </x:c>
      <x:c r="B18" s="74" t="n">
        <x:v>0</x:v>
      </x:c>
      <x:c r="C18" s="74" t="n">
        <x:v>0</x:v>
      </x:c>
      <x:c r="D18" s="74" t="n">
        <x:v>0</x:v>
      </x:c>
      <x:c r="E18" s="74" t="n">
        <x:v>0</x:v>
      </x:c>
      <x:c r="F18" s="74" t="n">
        <x:v>15</x:v>
      </x:c>
      <x:c r="G18" s="74" t="n">
        <x:v>20</x:v>
      </x:c>
      <x:c r="H18" s="74" t="n">
        <x:v>25</x:v>
      </x:c>
      <x:c r="I18" s="74" t="n">
        <x:v>30</x:v>
      </x:c>
      <x:c r="J18" s="74" t="n">
        <x:v>35</x:v>
      </x:c>
      <x:c r="K18" s="74" t="n">
        <x:v>40</x:v>
      </x:c>
      <x:c r="L18" s="74" t="n">
        <x:v>45</x:v>
      </x:c>
      <x:c r="M18" s="74" t="n">
        <x:v>50</x:v>
      </x:c>
    </x:row>
    <x:row r="19" ht="21" customHeight="1">
      <x:c r="A19" s="6" t="str">
        <x:v>Domínio (R$)</x:v>
      </x:c>
      <x:c r="B19" s="70" t="n">
        <x:f>Premissas!$B$12</x:f>
        <x:v>40</x:v>
      </x:c>
      <x:c r="C19" s="70" t="n">
        <x:f>0</x:f>
        <x:v>0</x:v>
      </x:c>
      <x:c r="D19" s="70" t="n">
        <x:f>0</x:f>
        <x:v>0</x:v>
      </x:c>
      <x:c r="E19" s="70" t="n">
        <x:f>0</x:f>
        <x:v>0</x:v>
      </x:c>
      <x:c r="F19" s="70" t="n">
        <x:f>0</x:f>
        <x:v>0</x:v>
      </x:c>
      <x:c r="G19" s="70" t="n">
        <x:f>0</x:f>
        <x:v>0</x:v>
      </x:c>
      <x:c r="H19" s="70" t="n">
        <x:f>0</x:f>
        <x:v>0</x:v>
      </x:c>
      <x:c r="I19" s="70" t="n">
        <x:f>0</x:f>
        <x:v>0</x:v>
      </x:c>
      <x:c r="J19" s="70" t="n">
        <x:f>0</x:f>
        <x:v>0</x:v>
      </x:c>
      <x:c r="K19" s="70" t="n">
        <x:f>0</x:f>
        <x:v>0</x:v>
      </x:c>
      <x:c r="L19" s="70" t="n">
        <x:f>0</x:f>
        <x:v>0</x:v>
      </x:c>
      <x:c r="M19" s="70" t="n">
        <x:f>0</x:f>
        <x:v>0</x:v>
      </x:c>
    </x:row>
    <x:row r="20" ht="21" customHeight="1">
      <x:c r="A20" s="6" t="str">
        <x:v>Outros serviços (R$)</x:v>
      </x:c>
      <x:c r="B20" s="74" t="n">
        <x:v>0</x:v>
      </x:c>
      <x:c r="C20" s="74" t="n">
        <x:v>0</x:v>
      </x:c>
      <x:c r="D20" s="74" t="n">
        <x:v>0</x:v>
      </x:c>
      <x:c r="E20" s="74" t="n">
        <x:v>0</x:v>
      </x:c>
      <x:c r="F20" s="74" t="n">
        <x:v>0</x:v>
      </x:c>
      <x:c r="G20" s="74" t="n">
        <x:v>0</x:v>
      </x:c>
      <x:c r="H20" s="74" t="n">
        <x:v>0</x:v>
      </x:c>
      <x:c r="I20" s="74" t="n">
        <x:v>0</x:v>
      </x:c>
      <x:c r="J20" s="74" t="n">
        <x:v>5</x:v>
      </x:c>
      <x:c r="K20" s="74" t="n">
        <x:v>5</x:v>
      </x:c>
      <x:c r="L20" s="74" t="n">
        <x:v>5</x:v>
      </x:c>
      <x:c r="M20" s="74" t="n">
        <x:v>5</x:v>
      </x:c>
    </x:row>
    <x:row r="21" ht="21" customHeight="1">
      <x:c r="A21" s="6" t="str">
        <x:v>Taxa percentual de pagamento (R$)</x:v>
      </x:c>
      <x:c r="B21" s="78" t="n">
        <x:f>B11*Premissas!$B$6</x:f>
        <x:v>0</x:v>
      </x:c>
      <x:c r="C21" s="78" t="n">
        <x:f>C11*Premissas!$B$6</x:f>
        <x:v>0</x:v>
      </x:c>
      <x:c r="D21" s="78" t="n">
        <x:f>D11*Premissas!$B$6</x:f>
        <x:v>0</x:v>
      </x:c>
      <x:c r="E21" s="78" t="n">
        <x:f>E11*Premissas!$B$6</x:f>
        <x:v>0</x:v>
      </x:c>
      <x:c r="F21" s="78" t="n">
        <x:f>F11*Premissas!$B$6</x:f>
        <x:v>2.9025</x:v>
      </x:c>
      <x:c r="G21" s="78" t="n">
        <x:f>G11*Premissas!$B$6</x:f>
        <x:v>4.644</x:v>
      </x:c>
      <x:c r="H21" s="78" t="n">
        <x:f>H11*Premissas!$B$6</x:f>
        <x:v>6.966</x:v>
      </x:c>
      <x:c r="I21" s="78" t="n">
        <x:f>I11*Premissas!$B$6</x:f>
        <x:v>9.288</x:v>
      </x:c>
      <x:c r="J21" s="78" t="n">
        <x:f>J11*Premissas!$B$6</x:f>
        <x:v>12.771</x:v>
      </x:c>
      <x:c r="K21" s="78" t="n">
        <x:f>K11*Premissas!$B$6</x:f>
        <x:v>16.834500000000002</x:v>
      </x:c>
      <x:c r="L21" s="78" t="n">
        <x:f>L11*Premissas!$B$6</x:f>
        <x:v>21.4785</x:v>
      </x:c>
      <x:c r="M21" s="78" t="n">
        <x:f>M11*Premissas!$B$6</x:f>
        <x:v>26.1225</x:v>
      </x:c>
    </x:row>
    <x:row r="22" ht="21" customHeight="1">
      <x:c r="A22" s="6" t="str">
        <x:v>Tarifa fixa de pagamento (R$)</x:v>
      </x:c>
      <x:c r="B22" s="78" t="n">
        <x:f>B7*Premissas!$B$7</x:f>
        <x:v>0</x:v>
      </x:c>
      <x:c r="C22" s="78" t="n">
        <x:f>C7*Premissas!$B$7</x:f>
        <x:v>0</x:v>
      </x:c>
      <x:c r="D22" s="78" t="n">
        <x:f>D7*Premissas!$B$7</x:f>
        <x:v>0</x:v>
      </x:c>
      <x:c r="E22" s="78" t="n">
        <x:f>E7*Premissas!$B$7</x:f>
        <x:v>0</x:v>
      </x:c>
      <x:c r="F22" s="78" t="n">
        <x:f>F7*Premissas!$B$7</x:f>
        <x:v>1.25</x:v>
      </x:c>
      <x:c r="G22" s="78" t="n">
        <x:f>G7*Premissas!$B$7</x:f>
        <x:v>2</x:v>
      </x:c>
      <x:c r="H22" s="78" t="n">
        <x:f>H7*Premissas!$B$7</x:f>
        <x:v>3</x:v>
      </x:c>
      <x:c r="I22" s="78" t="n">
        <x:f>I7*Premissas!$B$7</x:f>
        <x:v>4</x:v>
      </x:c>
      <x:c r="J22" s="78" t="n">
        <x:f>J7*Premissas!$B$7</x:f>
        <x:v>5.5</x:v>
      </x:c>
      <x:c r="K22" s="78" t="n">
        <x:f>K7*Premissas!$B$7</x:f>
        <x:v>7.25</x:v>
      </x:c>
      <x:c r="L22" s="78" t="n">
        <x:f>L7*Premissas!$B$7</x:f>
        <x:v>9.25</x:v>
      </x:c>
      <x:c r="M22" s="78" t="n">
        <x:f>M7*Premissas!$B$7</x:f>
        <x:v>11.25</x:v>
      </x:c>
    </x:row>
    <x:row r="23" ht="21" customHeight="1">
      <x:c r="A23" s="6" t="str">
        <x:v>Reserva tributária (R$)</x:v>
      </x:c>
      <x:c r="B23" s="78" t="n">
        <x:f>B11*Premissas!$B$8</x:f>
        <x:v>0</x:v>
      </x:c>
      <x:c r="C23" s="78" t="n">
        <x:f>C11*Premissas!$B$8</x:f>
        <x:v>0</x:v>
      </x:c>
      <x:c r="D23" s="78" t="n">
        <x:f>D11*Premissas!$B$8</x:f>
        <x:v>0</x:v>
      </x:c>
      <x:c r="E23" s="78" t="n">
        <x:f>E11*Premissas!$B$8</x:f>
        <x:v>0</x:v>
      </x:c>
      <x:c r="F23" s="78" t="n">
        <x:f>F11*Premissas!$B$8</x:f>
        <x:v>3.8699999999999997</x:v>
      </x:c>
      <x:c r="G23" s="78" t="n">
        <x:f>G11*Premissas!$B$8</x:f>
        <x:v>6.192</x:v>
      </x:c>
      <x:c r="H23" s="78" t="n">
        <x:f>H11*Premissas!$B$8</x:f>
        <x:v>9.288</x:v>
      </x:c>
      <x:c r="I23" s="78" t="n">
        <x:f>I11*Premissas!$B$8</x:f>
        <x:v>12.384</x:v>
      </x:c>
      <x:c r="J23" s="78" t="n">
        <x:f>J11*Premissas!$B$8</x:f>
        <x:v>17.028</x:v>
      </x:c>
      <x:c r="K23" s="78" t="n">
        <x:f>K11*Premissas!$B$8</x:f>
        <x:v>22.446</x:v>
      </x:c>
      <x:c r="L23" s="78" t="n">
        <x:f>L11*Premissas!$B$8</x:f>
        <x:v>28.637999999999998</x:v>
      </x:c>
      <x:c r="M23" s="78" t="n">
        <x:f>M11*Premissas!$B$8</x:f>
        <x:v>34.83</x:v>
      </x:c>
    </x:row>
    <x:row r="24" ht="25" customHeight="1">
      <x:c r="A24" s="45" t="str">
        <x:v>TOTAL DE SAÍDAS (R$)</x:v>
      </x:c>
      <x:c r="B24" s="79" t="n">
        <x:f>SUM(B15:B23)</x:f>
        <x:v>46.25</x:v>
      </x:c>
      <x:c r="C24" s="79" t="n">
        <x:f>SUM(C15:C23)</x:f>
        <x:v>10</x:v>
      </x:c>
      <x:c r="D24" s="79" t="n">
        <x:f>SUM(D15:D23)</x:f>
        <x:v>17.5</x:v>
      </x:c>
      <x:c r="E24" s="79" t="n">
        <x:f>SUM(E15:E23)</x:f>
        <x:v>25</x:v>
      </x:c>
      <x:c r="F24" s="79" t="n">
        <x:f>SUM(F15:F23)</x:f>
        <x:v>68.02250000000001</x:v>
      </x:c>
      <x:c r="G24" s="79" t="n">
        <x:f>SUM(G15:G23)</x:f>
        <x:v>93.83600000000001</x:v>
      </x:c>
      <x:c r="H24" s="79" t="n">
        <x:f>SUM(H15:H23)</x:f>
        <x:v>128.254</x:v>
      </x:c>
      <x:c r="I24" s="79" t="n">
        <x:f>SUM(I15:I23)</x:f>
        <x:v>167.67200000000003</x:v>
      </x:c>
      <x:c r="J24" s="79" t="n">
        <x:f>SUM(J15:J23)</x:f>
        <x:v>224.299</x:v>
      </x:c>
      <x:c r="K24" s="79" t="n">
        <x:f>SUM(K15:K23)</x:f>
        <x:v>287.0305</x:v>
      </x:c>
      <x:c r="L24" s="79" t="n">
        <x:f>SUM(L15:L23)</x:f>
        <x:v>358.3665</x:v>
      </x:c>
      <x:c r="M24" s="79" t="n">
        <x:f>SUM(M15:M23)</x:f>
        <x:v>429.7025</x:v>
      </x:c>
    </x:row>
    <x:row r="25" ht="25" customHeight="1">
      <x:c r="A25" s="45" t="str">
        <x:v>RESULTADO OPERACIONAL (R$)</x:v>
      </x:c>
      <x:c r="B25" s="79" t="n">
        <x:f>B13-B24</x:f>
        <x:v>-46.25</x:v>
      </x:c>
      <x:c r="C25" s="79" t="n">
        <x:f>C13-C24</x:f>
        <x:v>-10</x:v>
      </x:c>
      <x:c r="D25" s="79" t="n">
        <x:f>D13-D24</x:f>
        <x:v>-17.5</x:v>
      </x:c>
      <x:c r="E25" s="79" t="n">
        <x:f>E13-E24</x:f>
        <x:v>-25</x:v>
      </x:c>
      <x:c r="F25" s="79" t="n">
        <x:f>F13-F24</x:f>
        <x:v>-3.522500000000008</x:v>
      </x:c>
      <x:c r="G25" s="79" t="n">
        <x:f>G13-G24</x:f>
        <x:v>9.36399999999999</x:v>
      </x:c>
      <x:c r="H25" s="79" t="n">
        <x:f>H13-H24</x:f>
        <x:v>26.54600000000002</x:v>
      </x:c>
      <x:c r="I25" s="79" t="n">
        <x:f>I13-I24</x:f>
        <x:v>38.72799999999998</x:v>
      </x:c>
      <x:c r="J25" s="79" t="n">
        <x:f>J13-J24</x:f>
        <x:v>59.501000000000005</x:v>
      </x:c>
      <x:c r="K25" s="79" t="n">
        <x:f>K13-K24</x:f>
        <x:v>87.0695</x:v>
      </x:c>
      <x:c r="L25" s="79" t="n">
        <x:f>L13-L24</x:f>
        <x:v>118.93350000000004</x:v>
      </x:c>
      <x:c r="M25" s="79" t="n">
        <x:f>M13-M24</x:f>
        <x:v>150.7975</x:v>
      </x:c>
    </x:row>
    <x:row r="26" ht="21" customHeight="1">
      <x:c r="A26" s="6" t="str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</x:row>
    <x:row r="27" ht="21" customHeight="1">
      <x:c r="A27" s="6" t="str">
        <x:v>Investimento fixo inicial (R$)</x:v>
      </x:c>
      <x:c r="B27" s="70" t="n">
        <x:f>Premissas!$B$15</x:f>
        <x:v>0</x:v>
      </x:c>
      <x:c r="C27" s="70" t="n">
        <x:f>0</x:f>
        <x:v>0</x:v>
      </x:c>
      <x:c r="D27" s="70" t="n">
        <x:f>0</x:f>
        <x:v>0</x:v>
      </x:c>
      <x:c r="E27" s="70" t="n">
        <x:f>0</x:f>
        <x:v>0</x:v>
      </x:c>
      <x:c r="F27" s="70" t="n">
        <x:f>0</x:f>
        <x:v>0</x:v>
      </x:c>
      <x:c r="G27" s="70" t="n">
        <x:f>0</x:f>
        <x:v>0</x:v>
      </x:c>
      <x:c r="H27" s="70" t="n">
        <x:f>0</x:f>
        <x:v>0</x:v>
      </x:c>
      <x:c r="I27" s="70" t="n">
        <x:f>0</x:f>
        <x:v>0</x:v>
      </x:c>
      <x:c r="J27" s="70" t="n">
        <x:f>0</x:f>
        <x:v>0</x:v>
      </x:c>
      <x:c r="K27" s="70" t="n">
        <x:f>0</x:f>
        <x:v>0</x:v>
      </x:c>
      <x:c r="L27" s="70" t="n">
        <x:f>0</x:f>
        <x:v>0</x:v>
      </x:c>
      <x:c r="M27" s="70" t="n">
        <x:f>0</x:f>
        <x:v>0</x:v>
      </x:c>
    </x:row>
    <x:row r="28" ht="25" customHeight="1">
      <x:c r="A28" s="51" t="str">
        <x:v>RESULTADO DO MÊS (R$)</x:v>
      </x:c>
      <x:c r="B28" s="80" t="n">
        <x:f>B25-B27</x:f>
        <x:v>-46.25</x:v>
      </x:c>
      <x:c r="C28" s="80" t="n">
        <x:f>C25-C27</x:f>
        <x:v>-10</x:v>
      </x:c>
      <x:c r="D28" s="80" t="n">
        <x:f>D25-D27</x:f>
        <x:v>-17.5</x:v>
      </x:c>
      <x:c r="E28" s="80" t="n">
        <x:f>E25-E27</x:f>
        <x:v>-25</x:v>
      </x:c>
      <x:c r="F28" s="80" t="n">
        <x:f>F25-F27</x:f>
        <x:v>-3.522500000000008</x:v>
      </x:c>
      <x:c r="G28" s="80" t="n">
        <x:f>G25-G27</x:f>
        <x:v>9.36399999999999</x:v>
      </x:c>
      <x:c r="H28" s="80" t="n">
        <x:f>H25-H27</x:f>
        <x:v>26.54600000000002</x:v>
      </x:c>
      <x:c r="I28" s="80" t="n">
        <x:f>I25-I27</x:f>
        <x:v>38.72799999999998</x:v>
      </x:c>
      <x:c r="J28" s="80" t="n">
        <x:f>J25-J27</x:f>
        <x:v>59.501000000000005</x:v>
      </x:c>
      <x:c r="K28" s="80" t="n">
        <x:f>K25-K27</x:f>
        <x:v>87.0695</x:v>
      </x:c>
      <x:c r="L28" s="80" t="n">
        <x:f>L25-L27</x:f>
        <x:v>118.93350000000004</x:v>
      </x:c>
      <x:c r="M28" s="80" t="n">
        <x:f>M25-M27</x:f>
        <x:v>150.7975</x:v>
      </x:c>
    </x:row>
    <x:row r="29" ht="25" customHeight="1">
      <x:c r="A29" s="51" t="str">
        <x:v>SALDO ACUMULADO (R$)</x:v>
      </x:c>
      <x:c r="B29" s="80" t="n">
        <x:f>SUM($B28:B28)</x:f>
        <x:v>-46.25</x:v>
      </x:c>
      <x:c r="C29" s="80" t="n">
        <x:f>SUM($B28:C28)</x:f>
        <x:v>-56.25</x:v>
      </x:c>
      <x:c r="D29" s="80" t="n">
        <x:f>SUM($B28:D28)</x:f>
        <x:v>-73.75</x:v>
      </x:c>
      <x:c r="E29" s="80" t="n">
        <x:f>SUM($B28:E28)</x:f>
        <x:v>-98.75</x:v>
      </x:c>
      <x:c r="F29" s="80" t="n">
        <x:f>SUM($B28:F28)</x:f>
        <x:v>-102.27250000000001</x:v>
      </x:c>
      <x:c r="G29" s="80" t="n">
        <x:f>SUM($B28:G28)</x:f>
        <x:v>-92.90850000000002</x:v>
      </x:c>
      <x:c r="H29" s="80" t="n">
        <x:f>SUM($B28:H28)</x:f>
        <x:v>-66.3625</x:v>
      </x:c>
      <x:c r="I29" s="80" t="n">
        <x:f>SUM($B28:I28)</x:f>
        <x:v>-27.634500000000017</x:v>
      </x:c>
      <x:c r="J29" s="80" t="n">
        <x:f>SUM($B28:J28)</x:f>
        <x:v>31.866499999999988</x:v>
      </x:c>
      <x:c r="K29" s="80" t="n">
        <x:f>SUM($B28:K28)</x:f>
        <x:v>118.93599999999999</x:v>
      </x:c>
      <x:c r="L29" s="80" t="n">
        <x:f>SUM($B28:L28)</x:f>
        <x:v>237.86950000000002</x:v>
      </x:c>
      <x:c r="M29" s="80" t="n">
        <x:f>SUM($B28:M28)</x:f>
        <x:v>388.66700000000003</x:v>
      </x:c>
    </x:row>
    <x:row r="30" ht="21" customHeight="1">
      <x:c r="A30" s="6" t="str">
        <x:v>Situação do mês</x:v>
      </x:c>
      <x:c r="B30" s="6" t="str">
        <x:f>IF(B28&gt;=0,"Superávit","Déficit")</x:f>
        <x:v>Déficit</x:v>
      </x:c>
      <x:c r="C30" s="6" t="str">
        <x:f>IF(C28&gt;=0,"Superávit","Déficit")</x:f>
        <x:v>Déficit</x:v>
      </x:c>
      <x:c r="D30" s="6" t="str">
        <x:f>IF(D28&gt;=0,"Superávit","Déficit")</x:f>
        <x:v>Déficit</x:v>
      </x:c>
      <x:c r="E30" s="6" t="str">
        <x:f>IF(E28&gt;=0,"Superávit","Déficit")</x:f>
        <x:v>Déficit</x:v>
      </x:c>
      <x:c r="F30" s="6" t="str">
        <x:f>IF(F28&gt;=0,"Superávit","Déficit")</x:f>
        <x:v>Déficit</x:v>
      </x:c>
      <x:c r="G30" s="6" t="str">
        <x:f>IF(G28&gt;=0,"Superávit","Déficit")</x:f>
        <x:v>Superávit</x:v>
      </x:c>
      <x:c r="H30" s="6" t="str">
        <x:f>IF(H28&gt;=0,"Superávit","Déficit")</x:f>
        <x:v>Superávit</x:v>
      </x:c>
      <x:c r="I30" s="6" t="str">
        <x:f>IF(I28&gt;=0,"Superávit","Déficit")</x:f>
        <x:v>Superávit</x:v>
      </x:c>
      <x:c r="J30" s="6" t="str">
        <x:f>IF(J28&gt;=0,"Superávit","Déficit")</x:f>
        <x:v>Superávit</x:v>
      </x:c>
      <x:c r="K30" s="6" t="str">
        <x:f>IF(K28&gt;=0,"Superávit","Déficit")</x:f>
        <x:v>Superávit</x:v>
      </x:c>
      <x:c r="L30" s="6" t="str">
        <x:f>IF(L28&gt;=0,"Superávit","Déficit")</x:f>
        <x:v>Superávit</x:v>
      </x:c>
      <x:c r="M30" s="6" t="str">
        <x:f>IF(M28&gt;=0,"Superávit","Déficit")</x:f>
        <x:v>Superávit</x:v>
      </x:c>
    </x:row>
    <x:row r="31" ht="21" customHeight="1">
      <x:c r="A31" s="6" t="str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</x:row>
    <x:row r="32" ht="21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</x:row>
    <x:row r="33" ht="34" customHeight="1">
      <x:c r="A33" s="59" t="str">
        <x:v>Resultado: saída efetiva apenas quando há pagamento. Os planos gratuitos podem mudar; não inclui remuneração da equipe e formalização empresarial.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</x:row>
    <x:row r="34" ht="21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</x:row>
    <x:row r="35" ht="21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</x:row>
    <x:row r="36" ht="21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</x:row>
    <x:row r="37" ht="21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</x:row>
    <x:row r="38" ht="21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 ht="21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  <x:row r="40" ht="21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</x:row>
  </x:sheetData>
  <x:mergeCells>
    <x:mergeCell ref="A1:M2"/>
    <x:mergeCell ref="A3:M3"/>
    <x:mergeCell ref="A33:M33"/>
  </x:mergeCells>
  <x:conditionalFormatting sqref="B25:M25">
    <x:cfRule type="cellIs" dxfId="0" priority="1" operator="lessThan">
      <x:formula>0</x:formula>
    </x:cfRule>
  </x:conditionalFormatting>
  <x:conditionalFormatting sqref="B29:M2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5" customHeight="1">
      <x:c r="A1" s="10" t="str">
        <x:v>CHECKER NEWS | RESUMO FINANCEIRO</x:v>
      </x:c>
      <x:c r="B1" s="10"/>
      <x:c r="C1" s="10"/>
      <x:c r="D1" s="10"/>
      <x:c r="E1" s="10"/>
      <x:c r="F1" s="10"/>
      <x:c r="G1" s="10"/>
      <x:c r="H1" s="10"/>
      <x:c r="I1" s="6"/>
      <x:c r="J1" s="6"/>
      <x:c r="K1" s="6"/>
      <x:c r="L1" s="6"/>
      <x:c r="M1" s="6"/>
    </x:row>
    <x:row r="2" ht="25" customHeight="1">
      <x:c r="A2" s="10"/>
      <x:c r="B2" s="10"/>
      <x:c r="C2" s="10"/>
      <x:c r="D2" s="10"/>
      <x:c r="E2" s="10"/>
      <x:c r="F2" s="10"/>
      <x:c r="G2" s="10"/>
      <x:c r="H2" s="10"/>
      <x:c r="I2" s="6"/>
      <x:c r="J2" s="6"/>
      <x:c r="K2" s="6"/>
      <x:c r="L2" s="6"/>
      <x:c r="M2" s="6"/>
    </x:row>
    <x:row r="3" ht="21" customHeight="1">
      <x:c r="A3" s="14" t="str">
        <x:v>Receitas e custos projetados para o modelo acadêmico enxuto — não são números realizados.</x:v>
      </x:c>
      <x:c r="B3" s="14"/>
      <x:c r="C3" s="14"/>
      <x:c r="D3" s="14"/>
      <x:c r="E3" s="14"/>
      <x:c r="F3" s="14"/>
      <x:c r="G3" s="14"/>
      <x:c r="H3" s="14"/>
      <x:c r="I3" s="6"/>
      <x:c r="J3" s="6"/>
      <x:c r="K3" s="6"/>
      <x:c r="L3" s="6"/>
      <x:c r="M3" s="6"/>
    </x:row>
    <x:row r="4" ht="21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4" customHeight="1">
      <x:c r="A5" s="19" t="str">
        <x:v>INDICADORES DO CENÁRIO BASE</x:v>
      </x:c>
      <x:c r="B5" s="19"/>
      <x:c r="C5" s="19"/>
      <x:c r="D5" s="19"/>
      <x:c r="E5" s="6"/>
      <x:c r="F5" s="6"/>
      <x:c r="G5" s="6"/>
      <x:c r="H5" s="6"/>
      <x:c r="I5" s="6"/>
      <x:c r="J5" s="6"/>
      <x:c r="K5" s="6"/>
      <x:c r="L5" s="6"/>
      <x:c r="M5" s="6"/>
    </x:row>
    <x:row r="6" ht="21" customHeight="1">
      <x:c r="A6" s="6" t="str">
        <x:v>Mensalidade Premium (R$)</x:v>
      </x:c>
      <x:c r="B6" s="70" t="n">
        <x:f>Premissas!B5</x:f>
        <x:v>12.9</x:v>
      </x:c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21" customHeight="1">
      <x:c r="A7" s="6" t="str">
        <x:v>Pagantes no 12º mês</x:v>
      </x:c>
      <x:c r="B7" s="62" t="n">
        <x:f>'Fluxo de Caixa'!M7</x:f>
        <x:v>45</x:v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</x:row>
    <x:row r="8" ht="21" customHeight="1">
      <x:c r="A8" s="6" t="str">
        <x:v>Usuários gratuitos no 12º mês</x:v>
      </x:c>
      <x:c r="B8" s="62" t="n">
        <x:f>'Fluxo de Caixa'!M6</x:f>
        <x:v>850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</x:row>
    <x:row r="9" ht="21" customHeight="1">
      <x:c r="A9" s="6" t="str">
        <x:v>Verificações no 12º mês</x:v>
      </x:c>
      <x:c r="B9" s="62" t="n">
        <x:f>'Fluxo de Caixa'!M8</x:f>
        <x:v>1210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</x:row>
    <x:row r="10" ht="21" customHeight="1">
      <x:c r="A10" s="6" t="str">
        <x:v>Faturamento no ano (R$)</x:v>
      </x:c>
      <x:c r="B10" s="70" t="n">
        <x:f>SUM('Fluxo de Caixa'!B13:M13)</x:f>
        <x:v>2244.6000000000004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</x:row>
    <x:row r="11" ht="21" customHeight="1">
      <x:c r="A11" s="6" t="str">
        <x:v>Saídas totais no ano (R$)</x:v>
      </x:c>
      <x:c r="B11" s="70" t="n">
        <x:f>SUM('Fluxo de Caixa'!B24:M24)+SUM('Fluxo de Caixa'!B27:M27)</x:f>
        <x:v>1855.933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</x:row>
    <x:row r="12" ht="21" customHeight="1">
      <x:c r="A12" s="6" t="str">
        <x:v>Resultado acumulado em 12 meses (R$)</x:v>
      </x:c>
      <x:c r="B12" s="70" t="n">
        <x:f>'Fluxo de Caixa'!M29</x:f>
        <x:v>388.66700000000003</x:v>
      </x:c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</x:row>
    <x:row r="13" ht="21" customHeight="1">
      <x:c r="A13" s="45" t="str">
        <x:v>Maior déficit acumulado / capital de giro (R$)</x:v>
      </x:c>
      <x:c r="B13" s="71" t="n">
        <x:f>MIN(0,MIN('Fluxo de Caixa'!B29:M29))</x:f>
        <x:v>-102.27250000000001</x:v>
      </x:c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</x:row>
    <x:row r="14" ht="21" customHeight="1">
      <x:c r="A14" s="6" t="str">
        <x:v>Receita mensal no mês 12 (R$)</x:v>
      </x:c>
      <x:c r="B14" s="70" t="n">
        <x:f>'Fluxo de Caixa'!M13</x:f>
        <x:v>580.5</x:v>
      </x:c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</x:row>
    <x:row r="15" ht="21" customHeight="1">
      <x:c r="A15" s="6" t="str">
        <x:v>Saídas mensais no mês 12 (R$)</x:v>
      </x:c>
      <x:c r="B15" s="70" t="n">
        <x:f>'Fluxo de Caixa'!M24</x:f>
        <x:v>429.7025</x:v>
      </x:c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</x:row>
    <x:row r="16" ht="21" customHeight="1">
      <x:c r="A16" s="6" t="str">
        <x:v>Pagantes para equilíbrio no mês 12 (aprox.)</x:v>
      </x:c>
      <x:c r="B16" s="62" t="n">
        <x:f>ROUNDUP(('Fluxo de Caixa'!M6*Premissas!B9*Premissas!B11+'Fluxo de Caixa'!M18+'Fluxo de Caixa'!M20+Premissas!B13+Premissas!B14)/(Premissas!B5*(1-Premissas!B6-Premissas!B8)-Premissas!B7-Premissas!B10*Premissas!B11),0)</x:f>
        <x:v>29</x:v>
      </x:c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</x:row>
    <x:row r="17" ht="22" customHeight="1">
      <x:c r="A17" s="59" t="str">
        <x:v>Saldo positivo não é lucro empresarial: salários, contador, formalização e outros custos estão fora do cenário.</x:v>
      </x:c>
      <x:c r="B17" s="59"/>
      <x:c r="C17" s="59"/>
      <x:c r="D17" s="59"/>
      <x:c r="E17" s="59"/>
      <x:c r="F17" s="59"/>
      <x:c r="G17" s="59"/>
      <x:c r="H17" s="59"/>
      <x:c r="I17" s="6"/>
      <x:c r="J17" s="6"/>
      <x:c r="K17" s="6"/>
      <x:c r="L17" s="6"/>
      <x:c r="M17" s="6"/>
    </x:row>
    <x:row r="18" ht="22" customHeight="1">
      <x:c r="A18" s="59"/>
      <x:c r="B18" s="59"/>
      <x:c r="C18" s="59"/>
      <x:c r="D18" s="59"/>
      <x:c r="E18" s="59"/>
      <x:c r="F18" s="59"/>
      <x:c r="G18" s="59"/>
      <x:c r="H18" s="59"/>
      <x:c r="I18" s="6"/>
      <x:c r="J18" s="6"/>
      <x:c r="K18" s="6"/>
      <x:c r="L18" s="6"/>
      <x:c r="M18" s="6"/>
    </x:row>
    <x:row r="19" ht="21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</x:row>
    <x:row r="20" ht="21" customHeight="1">
      <x:c r="A20" s="31" t="str">
        <x:v>Como interpretar: o modelo estima apenas dinheiro entrando e saindo no cenário com equipe não remunerada.</x:v>
      </x:c>
      <x:c r="B20" s="31"/>
      <x:c r="C20" s="31"/>
      <x:c r="D20" s="31"/>
      <x:c r="E20" s="31"/>
      <x:c r="F20" s="31"/>
      <x:c r="G20" s="31"/>
      <x:c r="H20" s="31"/>
      <x:c r="I20" s="6"/>
      <x:c r="J20" s="6"/>
      <x:c r="K20" s="6"/>
      <x:c r="L20" s="6"/>
      <x:c r="M20" s="6"/>
    </x:row>
    <x:row r="21" ht="21" customHeight="1">
      <x:c r="A21" s="31"/>
      <x:c r="B21" s="31"/>
      <x:c r="C21" s="31"/>
      <x:c r="D21" s="31"/>
      <x:c r="E21" s="31"/>
      <x:c r="F21" s="31"/>
      <x:c r="G21" s="31"/>
      <x:c r="H21" s="31"/>
      <x:c r="I21" s="6"/>
      <x:c r="J21" s="6"/>
      <x:c r="K21" s="6"/>
      <x:c r="L21" s="6"/>
      <x:c r="M21" s="6"/>
    </x:row>
    <x:row r="22" ht="21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</x:row>
    <x:row r="23" ht="24" customHeight="1">
      <x:c r="A23" s="19" t="str">
        <x:v>EVOLUÇÃO MENSAL</x:v>
      </x:c>
      <x:c r="B23" s="19"/>
      <x:c r="C23" s="19"/>
      <x:c r="D23" s="19"/>
      <x:c r="E23" s="6"/>
      <x:c r="F23" s="6"/>
      <x:c r="G23" s="6"/>
      <x:c r="H23" s="6"/>
      <x:c r="I23" s="6"/>
      <x:c r="J23" s="6"/>
      <x:c r="K23" s="6"/>
      <x:c r="L23" s="6"/>
      <x:c r="M23" s="6"/>
    </x:row>
    <x:row r="24" ht="21" customHeight="1">
      <x:c r="A24" s="19" t="str">
        <x:v>Mês</x:v>
      </x:c>
      <x:c r="B24" s="19" t="str">
        <x:v>Receita (R$)</x:v>
      </x:c>
      <x:c r="C24" s="19" t="str">
        <x:v>Saídas (R$)</x:v>
      </x:c>
      <x:c r="D24" s="19" t="str">
        <x:v>Saldo acumulado (R$)</x:v>
      </x:c>
      <x:c r="E24" s="6"/>
      <x:c r="F24" s="6"/>
      <x:c r="G24" s="6"/>
      <x:c r="H24" s="6"/>
      <x:c r="I24" s="6"/>
      <x:c r="J24" s="6"/>
      <x:c r="K24" s="6"/>
      <x:c r="L24" s="6"/>
      <x:c r="M24" s="6"/>
    </x:row>
    <x:row r="25" ht="21" customHeight="1">
      <x:c r="A25" s="6" t="str">
        <x:f>'Fluxo de Caixa'!B4</x:f>
        <x:v>Nov/26</x:v>
      </x:c>
      <x:c r="B25" s="78" t="n">
        <x:f>'Fluxo de Caixa'!B13</x:f>
        <x:v>0</x:v>
      </x:c>
      <x:c r="C25" s="78" t="n">
        <x:f>'Fluxo de Caixa'!B24</x:f>
        <x:v>46.25</x:v>
      </x:c>
      <x:c r="D25" s="78" t="n">
        <x:f>'Fluxo de Caixa'!B29</x:f>
        <x:v>-46.25</x:v>
      </x:c>
      <x:c r="E25" s="6"/>
      <x:c r="F25" s="6"/>
      <x:c r="G25" s="6"/>
      <x:c r="H25" s="6"/>
      <x:c r="I25" s="6"/>
      <x:c r="J25" s="6"/>
      <x:c r="K25" s="6"/>
      <x:c r="L25" s="6"/>
      <x:c r="M25" s="6"/>
    </x:row>
    <x:row r="26" ht="21" customHeight="1">
      <x:c r="A26" s="6" t="str">
        <x:f>'Fluxo de Caixa'!C4</x:f>
        <x:v>Dez/26</x:v>
      </x:c>
      <x:c r="B26" s="78" t="n">
        <x:f>'Fluxo de Caixa'!C13</x:f>
        <x:v>0</x:v>
      </x:c>
      <x:c r="C26" s="78" t="n">
        <x:f>'Fluxo de Caixa'!C24</x:f>
        <x:v>10</x:v>
      </x:c>
      <x:c r="D26" s="78" t="n">
        <x:f>'Fluxo de Caixa'!C29</x:f>
        <x:v>-56.25</x:v>
      </x:c>
      <x:c r="E26" s="6"/>
      <x:c r="F26" s="6"/>
      <x:c r="G26" s="6"/>
      <x:c r="H26" s="6"/>
      <x:c r="I26" s="6"/>
      <x:c r="J26" s="6"/>
      <x:c r="K26" s="6"/>
      <x:c r="L26" s="6"/>
      <x:c r="M26" s="6"/>
    </x:row>
    <x:row r="27" ht="21" customHeight="1">
      <x:c r="A27" s="6" t="str">
        <x:f>'Fluxo de Caixa'!D4</x:f>
        <x:v>Jan/27</x:v>
      </x:c>
      <x:c r="B27" s="78" t="n">
        <x:f>'Fluxo de Caixa'!D13</x:f>
        <x:v>0</x:v>
      </x:c>
      <x:c r="C27" s="78" t="n">
        <x:f>'Fluxo de Caixa'!D24</x:f>
        <x:v>17.5</x:v>
      </x:c>
      <x:c r="D27" s="78" t="n">
        <x:f>'Fluxo de Caixa'!D29</x:f>
        <x:v>-73.75</x:v>
      </x:c>
      <x:c r="E27" s="6"/>
      <x:c r="F27" s="6"/>
      <x:c r="G27" s="6"/>
      <x:c r="H27" s="6"/>
      <x:c r="I27" s="6"/>
      <x:c r="J27" s="6"/>
      <x:c r="K27" s="6"/>
      <x:c r="L27" s="6"/>
      <x:c r="M27" s="6"/>
    </x:row>
    <x:row r="28" ht="21" customHeight="1">
      <x:c r="A28" s="6" t="str">
        <x:f>'Fluxo de Caixa'!E4</x:f>
        <x:v>Fev/27</x:v>
      </x:c>
      <x:c r="B28" s="78" t="n">
        <x:f>'Fluxo de Caixa'!E13</x:f>
        <x:v>0</x:v>
      </x:c>
      <x:c r="C28" s="78" t="n">
        <x:f>'Fluxo de Caixa'!E24</x:f>
        <x:v>25</x:v>
      </x:c>
      <x:c r="D28" s="78" t="n">
        <x:f>'Fluxo de Caixa'!E29</x:f>
        <x:v>-98.75</x:v>
      </x:c>
      <x:c r="E28" s="6"/>
      <x:c r="F28" s="6"/>
      <x:c r="G28" s="6"/>
      <x:c r="H28" s="6"/>
      <x:c r="I28" s="6"/>
      <x:c r="J28" s="6"/>
      <x:c r="K28" s="6"/>
      <x:c r="L28" s="6"/>
      <x:c r="M28" s="6"/>
    </x:row>
    <x:row r="29" ht="21" customHeight="1">
      <x:c r="A29" s="6" t="str">
        <x:f>'Fluxo de Caixa'!F4</x:f>
        <x:v>Mar/27</x:v>
      </x:c>
      <x:c r="B29" s="78" t="n">
        <x:f>'Fluxo de Caixa'!F13</x:f>
        <x:v>64.5</x:v>
      </x:c>
      <x:c r="C29" s="78" t="n">
        <x:f>'Fluxo de Caixa'!F24</x:f>
        <x:v>68.02250000000001</x:v>
      </x:c>
      <x:c r="D29" s="78" t="n">
        <x:f>'Fluxo de Caixa'!F29</x:f>
        <x:v>-102.27250000000001</x:v>
      </x:c>
      <x:c r="E29" s="6"/>
      <x:c r="F29" s="6"/>
      <x:c r="G29" s="6"/>
      <x:c r="H29" s="6"/>
      <x:c r="I29" s="6"/>
      <x:c r="J29" s="6"/>
      <x:c r="K29" s="6"/>
      <x:c r="L29" s="6"/>
      <x:c r="M29" s="6"/>
    </x:row>
    <x:row r="30" ht="21" customHeight="1">
      <x:c r="A30" s="6" t="str">
        <x:f>'Fluxo de Caixa'!G4</x:f>
        <x:v>Abr/27</x:v>
      </x:c>
      <x:c r="B30" s="78" t="n">
        <x:f>'Fluxo de Caixa'!G13</x:f>
        <x:v>103.2</x:v>
      </x:c>
      <x:c r="C30" s="78" t="n">
        <x:f>'Fluxo de Caixa'!G24</x:f>
        <x:v>93.83600000000001</x:v>
      </x:c>
      <x:c r="D30" s="78" t="n">
        <x:f>'Fluxo de Caixa'!G29</x:f>
        <x:v>-92.90850000000002</x:v>
      </x:c>
      <x:c r="E30" s="6"/>
      <x:c r="F30" s="6"/>
      <x:c r="G30" s="6"/>
      <x:c r="H30" s="6"/>
      <x:c r="I30" s="6"/>
      <x:c r="J30" s="6"/>
      <x:c r="K30" s="6"/>
      <x:c r="L30" s="6"/>
      <x:c r="M30" s="6"/>
    </x:row>
    <x:row r="31" ht="21" customHeight="1">
      <x:c r="A31" s="6" t="str">
        <x:f>'Fluxo de Caixa'!H4</x:f>
        <x:v>Mai/27</x:v>
      </x:c>
      <x:c r="B31" s="78" t="n">
        <x:f>'Fluxo de Caixa'!H13</x:f>
        <x:v>154.8</x:v>
      </x:c>
      <x:c r="C31" s="78" t="n">
        <x:f>'Fluxo de Caixa'!H24</x:f>
        <x:v>128.254</x:v>
      </x:c>
      <x:c r="D31" s="78" t="n">
        <x:f>'Fluxo de Caixa'!H29</x:f>
        <x:v>-66.3625</x:v>
      </x:c>
      <x:c r="E31" s="6"/>
      <x:c r="F31" s="6"/>
      <x:c r="G31" s="6"/>
      <x:c r="H31" s="6"/>
      <x:c r="I31" s="6"/>
      <x:c r="J31" s="6"/>
      <x:c r="K31" s="6"/>
      <x:c r="L31" s="6"/>
      <x:c r="M31" s="6"/>
    </x:row>
    <x:row r="32" ht="21" customHeight="1">
      <x:c r="A32" s="6" t="str">
        <x:f>'Fluxo de Caixa'!I4</x:f>
        <x:v>Jun/27</x:v>
      </x:c>
      <x:c r="B32" s="78" t="n">
        <x:f>'Fluxo de Caixa'!I13</x:f>
        <x:v>206.4</x:v>
      </x:c>
      <x:c r="C32" s="78" t="n">
        <x:f>'Fluxo de Caixa'!I24</x:f>
        <x:v>167.67200000000003</x:v>
      </x:c>
      <x:c r="D32" s="78" t="n">
        <x:f>'Fluxo de Caixa'!I29</x:f>
        <x:v>-27.634500000000017</x:v>
      </x:c>
      <x:c r="E32" s="6"/>
      <x:c r="F32" s="6"/>
      <x:c r="G32" s="6"/>
      <x:c r="H32" s="6"/>
      <x:c r="I32" s="6"/>
      <x:c r="J32" s="6"/>
      <x:c r="K32" s="6"/>
      <x:c r="L32" s="6"/>
      <x:c r="M32" s="6"/>
    </x:row>
    <x:row r="33" ht="21" customHeight="1">
      <x:c r="A33" s="6" t="str">
        <x:f>'Fluxo de Caixa'!J4</x:f>
        <x:v>Jul/27</x:v>
      </x:c>
      <x:c r="B33" s="78" t="n">
        <x:f>'Fluxo de Caixa'!J13</x:f>
        <x:v>283.8</x:v>
      </x:c>
      <x:c r="C33" s="78" t="n">
        <x:f>'Fluxo de Caixa'!J24</x:f>
        <x:v>224.299</x:v>
      </x:c>
      <x:c r="D33" s="78" t="n">
        <x:f>'Fluxo de Caixa'!J29</x:f>
        <x:v>31.866499999999988</x:v>
      </x:c>
      <x:c r="E33" s="6"/>
      <x:c r="F33" s="6"/>
      <x:c r="G33" s="6"/>
      <x:c r="H33" s="6"/>
      <x:c r="I33" s="6"/>
      <x:c r="J33" s="6"/>
      <x:c r="K33" s="6"/>
      <x:c r="L33" s="6"/>
      <x:c r="M33" s="6"/>
    </x:row>
    <x:row r="34" ht="21" customHeight="1">
      <x:c r="A34" s="6" t="str">
        <x:f>'Fluxo de Caixa'!K4</x:f>
        <x:v>Ago/27</x:v>
      </x:c>
      <x:c r="B34" s="78" t="n">
        <x:f>'Fluxo de Caixa'!K13</x:f>
        <x:v>374.1</x:v>
      </x:c>
      <x:c r="C34" s="78" t="n">
        <x:f>'Fluxo de Caixa'!K24</x:f>
        <x:v>287.0305</x:v>
      </x:c>
      <x:c r="D34" s="78" t="n">
        <x:f>'Fluxo de Caixa'!K29</x:f>
        <x:v>118.93599999999999</x:v>
      </x:c>
      <x:c r="E34" s="6"/>
      <x:c r="F34" s="6"/>
      <x:c r="G34" s="6"/>
      <x:c r="H34" s="6"/>
      <x:c r="I34" s="6"/>
      <x:c r="J34" s="6"/>
      <x:c r="K34" s="6"/>
      <x:c r="L34" s="6"/>
      <x:c r="M34" s="6"/>
    </x:row>
    <x:row r="35" ht="21" customHeight="1">
      <x:c r="A35" s="6" t="str">
        <x:f>'Fluxo de Caixa'!L4</x:f>
        <x:v>Set/27</x:v>
      </x:c>
      <x:c r="B35" s="78" t="n">
        <x:f>'Fluxo de Caixa'!L13</x:f>
        <x:v>477.3</x:v>
      </x:c>
      <x:c r="C35" s="78" t="n">
        <x:f>'Fluxo de Caixa'!L24</x:f>
        <x:v>358.3665</x:v>
      </x:c>
      <x:c r="D35" s="78" t="n">
        <x:f>'Fluxo de Caixa'!L29</x:f>
        <x:v>237.86950000000002</x:v>
      </x:c>
      <x:c r="E35" s="6"/>
      <x:c r="F35" s="6"/>
      <x:c r="G35" s="6"/>
      <x:c r="H35" s="6"/>
      <x:c r="I35" s="6"/>
      <x:c r="J35" s="6"/>
      <x:c r="K35" s="6"/>
      <x:c r="L35" s="6"/>
      <x:c r="M35" s="6"/>
    </x:row>
    <x:row r="36" ht="21" customHeight="1">
      <x:c r="A36" s="6" t="str">
        <x:f>'Fluxo de Caixa'!M4</x:f>
        <x:v>Out/27</x:v>
      </x:c>
      <x:c r="B36" s="78" t="n">
        <x:f>'Fluxo de Caixa'!M13</x:f>
        <x:v>580.5</x:v>
      </x:c>
      <x:c r="C36" s="78" t="n">
        <x:f>'Fluxo de Caixa'!M24</x:f>
        <x:v>429.7025</x:v>
      </x:c>
      <x:c r="D36" s="78" t="n">
        <x:f>'Fluxo de Caixa'!M29</x:f>
        <x:v>388.66700000000003</x:v>
      </x:c>
      <x:c r="E36" s="6"/>
      <x:c r="F36" s="6"/>
      <x:c r="G36" s="6"/>
      <x:c r="H36" s="6"/>
      <x:c r="I36" s="6"/>
      <x:c r="J36" s="6"/>
      <x:c r="K36" s="6"/>
      <x:c r="L36" s="6"/>
      <x:c r="M36" s="6"/>
    </x:row>
    <x:row r="37" ht="21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</x:row>
    <x:row r="38" ht="21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 ht="21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  <x:row r="40" ht="21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</x:row>
  </x:sheetData>
  <x:mergeCells>
    <x:mergeCell ref="A1:H2"/>
    <x:mergeCell ref="A3:H3"/>
    <x:mergeCell ref="A5:D5"/>
    <x:mergeCell ref="A17:H18"/>
    <x:mergeCell ref="A20:H21"/>
    <x:mergeCell ref="A23:D23"/>
  </x:mergeCells>
  <x:pageMargins left="0.7" right="0.7" top="0.75" bottom="0.75" header="0.3" footer="0.3"/>
  <x:drawing xmlns:r="http://schemas.openxmlformats.org/officeDocument/2006/relationships" r:id="R8b26390357634390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4" max="4" width="43" hidden="0" customWidth="1"/>
  </x:cols>
  <x:sheetData>
    <x:row r="1" ht="25" customHeight="1">
      <x:c r="A1" s="10" t="str">
        <x:v>CHECKER NEWS | TESTE DE SENSIBILIDADE</x:v>
      </x:c>
      <x:c r="B1" s="10"/>
      <x:c r="C1" s="10"/>
      <x:c r="D1" s="10"/>
      <x:c r="E1" s="10"/>
      <x:c r="F1" s="10"/>
      <x:c r="G1" s="6"/>
      <x:c r="H1" s="6"/>
      <x:c r="I1" s="6"/>
      <x:c r="J1" s="6"/>
      <x:c r="K1" s="6"/>
      <x:c r="L1" s="6"/>
      <x:c r="M1" s="6"/>
    </x:row>
    <x:row r="2" ht="25" customHeight="1">
      <x:c r="A2" s="10"/>
      <x:c r="B2" s="10"/>
      <x:c r="C2" s="10"/>
      <x:c r="D2" s="10"/>
      <x:c r="E2" s="10"/>
      <x:c r="F2" s="10"/>
      <x:c r="G2" s="6"/>
      <x:c r="H2" s="6"/>
      <x:c r="I2" s="6"/>
      <x:c r="J2" s="6"/>
      <x:c r="K2" s="6"/>
      <x:c r="L2" s="6"/>
      <x:c r="M2" s="6"/>
    </x:row>
    <x:row r="3" ht="21" customHeight="1">
      <x:c r="A3" s="14" t="str">
        <x:v>Mostra como variações do gasto por verificação afetam o resultado anual do mesmo cenário de clientes.</x:v>
      </x:c>
      <x:c r="B3" s="14"/>
      <x:c r="C3" s="14"/>
      <x:c r="D3" s="14"/>
      <x:c r="E3" s="14"/>
      <x:c r="F3" s="14"/>
      <x:c r="G3" s="6"/>
      <x:c r="H3" s="6"/>
      <x:c r="I3" s="6"/>
      <x:c r="J3" s="6"/>
      <x:c r="K3" s="6"/>
      <x:c r="L3" s="6"/>
      <x:c r="M3" s="6"/>
    </x:row>
    <x:row r="4" ht="21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1" customHeight="1">
      <x:c r="A5" s="19" t="str">
        <x:v>Custo por análise (R$)</x:v>
      </x:c>
      <x:c r="B5" s="19" t="str">
        <x:v>Resultado no ano (R$)</x:v>
      </x:c>
      <x:c r="C5" s="19" t="str">
        <x:v>Saldo positivo?</x:v>
      </x:c>
      <x:c r="D5" s="19" t="str">
        <x:v>Interpretação</x:v>
      </x:c>
      <x:c r="E5" s="6"/>
      <x:c r="F5" s="6"/>
      <x:c r="G5" s="6"/>
      <x:c r="H5" s="6"/>
      <x:c r="I5" s="6"/>
      <x:c r="J5" s="6"/>
      <x:c r="K5" s="6"/>
      <x:c r="L5" s="6"/>
      <x:c r="M5" s="6"/>
    </x:row>
    <x:row r="6" ht="21" customHeight="1">
      <x:c r="A6" s="74" t="n">
        <x:v>0.1</x:v>
      </x:c>
      <x:c r="B6" s="78" t="n">
        <x:f>SUM('Fluxo de Caixa'!B13:M13)-SUM('Fluxo de Caixa'!B24:M24)+SUM('Fluxo de Caixa'!B17:M17)-A6*SUM('Fluxo de Caixa'!B8:M8)-SUM('Fluxo de Caixa'!B27:M27)</x:f>
        <x:v>1142.7170000000003</x:v>
      </x:c>
      <x:c r="C6" s="6" t="str">
        <x:f>IF(B6&gt;=0,"Sim","Não")</x:f>
        <x:v>Sim</x:v>
      </x:c>
      <x:c r="D6" s="6" t="str">
        <x:v>Baixo consumo / ferramentas eficientes</x:v>
      </x:c>
      <x:c r="E6" s="6"/>
      <x:c r="F6" s="6"/>
      <x:c r="G6" s="6"/>
      <x:c r="H6" s="6"/>
      <x:c r="I6" s="6"/>
      <x:c r="J6" s="6"/>
      <x:c r="K6" s="6"/>
      <x:c r="L6" s="6"/>
      <x:c r="M6" s="6"/>
    </x:row>
    <x:row r="7" ht="21" customHeight="1">
      <x:c r="A7" s="74" t="n">
        <x:v>0.25</x:v>
      </x:c>
      <x:c r="B7" s="78" t="n">
        <x:f>SUM('Fluxo de Caixa'!B13:M13)-SUM('Fluxo de Caixa'!B24:M24)+SUM('Fluxo de Caixa'!B17:M17)-A7*SUM('Fluxo de Caixa'!B8:M8)-SUM('Fluxo de Caixa'!B27:M27)</x:f>
        <x:v>388.66700000000037</x:v>
      </x:c>
      <x:c r="C7" s="6" t="str">
        <x:f>IF(B7&gt;=0,"Sim","Não")</x:f>
        <x:v>Sim</x:v>
      </x:c>
      <x:c r="D7" s="6" t="str">
        <x:v>Cenário base da projeção</x:v>
      </x:c>
      <x:c r="E7" s="6"/>
      <x:c r="F7" s="6"/>
      <x:c r="G7" s="6"/>
      <x:c r="H7" s="6"/>
      <x:c r="I7" s="6"/>
      <x:c r="J7" s="6"/>
      <x:c r="K7" s="6"/>
      <x:c r="L7" s="6"/>
      <x:c r="M7" s="6"/>
    </x:row>
    <x:row r="8" ht="21" customHeight="1">
      <x:c r="A8" s="74" t="n">
        <x:v>0.4</x:v>
      </x:c>
      <x:c r="B8" s="78" t="n">
        <x:f>SUM('Fluxo de Caixa'!B13:M13)-SUM('Fluxo de Caixa'!B24:M24)+SUM('Fluxo de Caixa'!B17:M17)-A8*SUM('Fluxo de Caixa'!B8:M8)-SUM('Fluxo de Caixa'!B27:M27)</x:f>
        <x:v>-365.3829999999998</x:v>
      </x:c>
      <x:c r="C8" s="6" t="str">
        <x:f>IF(B8&gt;=0,"Sim","Não")</x:f>
        <x:v>Não</x:v>
      </x:c>
      <x:c r="D8" s="6" t="str">
        <x:v>Consultas externas mais caras</x:v>
      </x:c>
      <x:c r="E8" s="6"/>
      <x:c r="F8" s="6"/>
      <x:c r="G8" s="6"/>
      <x:c r="H8" s="6"/>
      <x:c r="I8" s="6"/>
      <x:c r="J8" s="6"/>
      <x:c r="K8" s="6"/>
      <x:c r="L8" s="6"/>
      <x:c r="M8" s="6"/>
    </x:row>
    <x:row r="9" ht="21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</x:row>
    <x:row r="10" ht="21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</x:row>
    <x:row r="11" ht="26" customHeight="1">
      <x:c r="A11" s="59" t="str">
        <x:v>O custo de R$ 0,25 não é tarifa cotada. Consultas com busca na web, checagem humana e licenciamento de fontes podem custar bem mais e tornar a simulação deficitária.</x:v>
      </x:c>
      <x:c r="B11" s="59"/>
      <x:c r="C11" s="59"/>
      <x:c r="D11" s="59"/>
      <x:c r="E11" s="59"/>
      <x:c r="F11" s="59"/>
      <x:c r="G11" s="6"/>
      <x:c r="H11" s="6"/>
      <x:c r="I11" s="6"/>
      <x:c r="J11" s="6"/>
      <x:c r="K11" s="6"/>
      <x:c r="L11" s="6"/>
      <x:c r="M11" s="6"/>
    </x:row>
    <x:row r="12" ht="26" customHeight="1">
      <x:c r="A12" s="59"/>
      <x:c r="B12" s="59"/>
      <x:c r="C12" s="59"/>
      <x:c r="D12" s="59"/>
      <x:c r="E12" s="59"/>
      <x:c r="F12" s="59"/>
      <x:c r="G12" s="6"/>
      <x:c r="H12" s="6"/>
      <x:c r="I12" s="6"/>
      <x:c r="J12" s="6"/>
      <x:c r="K12" s="6"/>
      <x:c r="L12" s="6"/>
      <x:c r="M12" s="6"/>
    </x:row>
    <x:row r="13" ht="21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</x:row>
    <x:row r="14" ht="21" customHeight="1">
      <x:c r="A14" s="31" t="str">
        <x:v>Ajuste os campos amarelos nas abas Premissas e Fluxo de Caixa para testar preços, usuários, marketing, custos da API e taxas.</x:v>
      </x:c>
      <x:c r="B14" s="31"/>
      <x:c r="C14" s="31"/>
      <x:c r="D14" s="31"/>
      <x:c r="E14" s="31"/>
      <x:c r="F14" s="31"/>
      <x:c r="G14" s="6"/>
      <x:c r="H14" s="6"/>
      <x:c r="I14" s="6"/>
      <x:c r="J14" s="6"/>
      <x:c r="K14" s="6"/>
      <x:c r="L14" s="6"/>
      <x:c r="M14" s="6"/>
    </x:row>
    <x:row r="15" ht="21" customHeight="1">
      <x:c r="A15" s="31"/>
      <x:c r="B15" s="31"/>
      <x:c r="C15" s="31"/>
      <x:c r="D15" s="31"/>
      <x:c r="E15" s="31"/>
      <x:c r="F15" s="31"/>
      <x:c r="G15" s="6"/>
      <x:c r="H15" s="6"/>
      <x:c r="I15" s="6"/>
      <x:c r="J15" s="6"/>
      <x:c r="K15" s="6"/>
      <x:c r="L15" s="6"/>
      <x:c r="M15" s="6"/>
    </x:row>
    <x:row r="16" ht="21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</x:row>
    <x:row r="17" ht="21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</x:row>
    <x:row r="18" ht="21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</x:row>
    <x:row r="19" ht="21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</x:row>
    <x:row r="20" ht="21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</x:row>
    <x:row r="21" ht="21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</x:row>
    <x:row r="22" ht="21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</x:row>
    <x:row r="23" ht="21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</x:row>
    <x:row r="24" ht="21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</x:row>
    <x:row r="25" ht="21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</x:row>
    <x:row r="26" ht="21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</x:row>
    <x:row r="27" ht="21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</x:row>
    <x:row r="28" ht="21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</x:row>
    <x:row r="29" ht="21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</x:row>
    <x:row r="30" ht="21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</x:row>
    <x:row r="31" ht="21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</x:row>
    <x:row r="32" ht="21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</x:row>
    <x:row r="33" ht="21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</x:row>
    <x:row r="34" ht="21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</x:row>
    <x:row r="35" ht="21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</x:row>
    <x:row r="36" ht="21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</x:row>
    <x:row r="37" ht="21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</x:row>
    <x:row r="38" ht="21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 ht="21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  <x:row r="40" ht="21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</x:row>
  </x:sheetData>
  <x:mergeCells>
    <x:mergeCell ref="A1:F2"/>
    <x:mergeCell ref="A3:F3"/>
    <x:mergeCell ref="A11:F12"/>
    <x:mergeCell ref="A14:F15"/>
  </x:mergeCells>
  <x:pageMargins left="0.7" right="0.7" top="0.75" bottom="0.75" header="0.3" footer="0.3"/>
</x:worksheet>
</file>